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9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我的坚果云\开发\VS\PipelinePlan\PipelinePlan\"/>
    </mc:Choice>
  </mc:AlternateContent>
  <bookViews>
    <workbookView xWindow="0" yWindow="0" windowWidth="17136" windowHeight="8676" tabRatio="807" firstSheet="1" activeTab="3"/>
  </bookViews>
  <sheets>
    <sheet name="生成1" sheetId="18" state="hidden" r:id="rId1"/>
    <sheet name="批次" sheetId="1" r:id="rId2"/>
    <sheet name="参数" sheetId="40" r:id="rId3"/>
    <sheet name="运行" sheetId="35" r:id="rId4"/>
    <sheet name="计算(长郴)" sheetId="42" r:id="rId5"/>
    <sheet name="生成" sheetId="23" r:id="rId6"/>
    <sheet name="最终" sheetId="36" r:id="rId7"/>
    <sheet name="备注" sheetId="20" r:id="rId8"/>
    <sheet name="常用" sheetId="27" r:id="rId9"/>
    <sheet name="计划单" sheetId="32" r:id="rId10"/>
  </sheets>
  <functionGroups builtInGroupCount="18"/>
  <definedNames>
    <definedName name="_xlnm.Print_Area" localSheetId="8">常用!#REF!</definedName>
    <definedName name="_xlnm.Print_Area" localSheetId="9">计划单!$A$1:$G$23</definedName>
    <definedName name="_xlnm.Print_Area" localSheetId="4">'计算(长郴)'!$A$1:$P$24</definedName>
    <definedName name="_xlnm.Print_Area" localSheetId="1">批次!$A$3:$F$24</definedName>
    <definedName name="_xlnm.Print_Titles" localSheetId="6">最终!$24:$25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运行!$D$2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G15" i="42" l="1"/>
  <c r="H15" i="42"/>
  <c r="I15" i="42"/>
  <c r="J15" i="42"/>
  <c r="K15" i="42"/>
  <c r="E37" i="42" l="1"/>
  <c r="D37" i="42"/>
  <c r="G34" i="42"/>
  <c r="G33" i="42"/>
  <c r="D35" i="42"/>
  <c r="D36" i="42"/>
  <c r="E36" i="42"/>
  <c r="M9" i="35"/>
  <c r="C5" i="1" l="1"/>
  <c r="M38" i="35" l="1"/>
  <c r="B2" i="35" l="1"/>
  <c r="L9" i="35"/>
  <c r="F9" i="35"/>
  <c r="D9" i="35"/>
  <c r="G9" i="35"/>
  <c r="E9" i="35"/>
  <c r="K9" i="35"/>
  <c r="I9" i="35"/>
  <c r="J9" i="35"/>
  <c r="H9" i="35"/>
  <c r="L38" i="35"/>
  <c r="H38" i="35"/>
  <c r="I38" i="35"/>
  <c r="J38" i="35"/>
  <c r="F38" i="35"/>
  <c r="K38" i="35"/>
  <c r="E38" i="35"/>
  <c r="G38" i="35"/>
  <c r="D38" i="35"/>
  <c r="F33" i="42" l="1"/>
  <c r="E33" i="42" s="1"/>
  <c r="D33" i="42" s="1"/>
  <c r="G37" i="42"/>
  <c r="F37" i="42" s="1"/>
  <c r="G36" i="42"/>
  <c r="F36" i="42" s="1"/>
  <c r="G35" i="42"/>
  <c r="F35" i="42" s="1"/>
  <c r="E35" i="42" s="1"/>
  <c r="F34" i="42"/>
  <c r="E34" i="42" s="1"/>
  <c r="D34" i="42" s="1"/>
  <c r="E5" i="1"/>
  <c r="M7" i="35" l="1"/>
  <c r="F7" i="35" l="1"/>
  <c r="E7" i="35"/>
  <c r="G7" i="35"/>
  <c r="D7" i="35"/>
  <c r="I7" i="35"/>
  <c r="H7" i="35"/>
  <c r="L7" i="35"/>
  <c r="K7" i="35"/>
  <c r="M64" i="35"/>
  <c r="J64" i="35" s="1"/>
  <c r="T21" i="42"/>
  <c r="S21" i="42" s="1"/>
  <c r="D64" i="35" l="1"/>
  <c r="H64" i="35"/>
  <c r="L64" i="35"/>
  <c r="E64" i="35"/>
  <c r="I64" i="35"/>
  <c r="F64" i="35"/>
  <c r="C64" i="35"/>
  <c r="G64" i="35"/>
  <c r="K64" i="35"/>
  <c r="M55" i="35" l="1"/>
  <c r="J55" i="35" s="1"/>
  <c r="G55" i="35" l="1"/>
  <c r="F55" i="35"/>
  <c r="H55" i="35"/>
  <c r="C55" i="35"/>
  <c r="K55" i="35"/>
  <c r="I55" i="35"/>
  <c r="D55" i="35"/>
  <c r="L55" i="35"/>
  <c r="E55" i="35"/>
  <c r="M42" i="35"/>
  <c r="M41" i="35"/>
  <c r="D41" i="35" s="1"/>
  <c r="T22" i="42"/>
  <c r="F42" i="35" l="1"/>
  <c r="H42" i="35"/>
  <c r="I42" i="35"/>
  <c r="G42" i="35"/>
  <c r="J42" i="35"/>
  <c r="K42" i="35"/>
  <c r="L42" i="35"/>
  <c r="E42" i="35"/>
  <c r="J41" i="35"/>
  <c r="I41" i="35"/>
  <c r="H41" i="35"/>
  <c r="K41" i="35"/>
  <c r="G41" i="35"/>
  <c r="F41" i="35"/>
  <c r="E41" i="35"/>
  <c r="L41" i="35"/>
  <c r="M30" i="35"/>
  <c r="S22" i="42"/>
  <c r="R22" i="42" s="1"/>
  <c r="Q22" i="42" s="1"/>
  <c r="H30" i="35" l="1"/>
  <c r="D30" i="35"/>
  <c r="G30" i="35"/>
  <c r="F30" i="35"/>
  <c r="I30" i="35"/>
  <c r="J30" i="35"/>
  <c r="K30" i="35"/>
  <c r="L30" i="35"/>
  <c r="E30" i="35"/>
  <c r="T25" i="42"/>
  <c r="B14" i="1"/>
  <c r="M58" i="35" l="1"/>
  <c r="D58" i="35" s="1"/>
  <c r="M45" i="35"/>
  <c r="I45" i="35" s="1"/>
  <c r="E58" i="35" l="1"/>
  <c r="G58" i="35"/>
  <c r="I58" i="35"/>
  <c r="J58" i="35"/>
  <c r="L58" i="35"/>
  <c r="F58" i="35"/>
  <c r="H58" i="35"/>
  <c r="K58" i="35"/>
  <c r="C58" i="35"/>
  <c r="E45" i="35"/>
  <c r="G45" i="35"/>
  <c r="H45" i="35"/>
  <c r="F45" i="35"/>
  <c r="J45" i="35"/>
  <c r="C45" i="35"/>
  <c r="K45" i="35"/>
  <c r="D45" i="35"/>
  <c r="L45" i="35"/>
  <c r="M44" i="35"/>
  <c r="H44" i="35" s="1"/>
  <c r="M33" i="35"/>
  <c r="M17" i="35"/>
  <c r="D17" i="35" s="1"/>
  <c r="M20" i="35"/>
  <c r="D20" i="35" s="1"/>
  <c r="M21" i="35"/>
  <c r="D21" i="35" s="1"/>
  <c r="I33" i="35" l="1"/>
  <c r="D33" i="35"/>
  <c r="E17" i="35"/>
  <c r="G44" i="35"/>
  <c r="F44" i="35"/>
  <c r="J44" i="35"/>
  <c r="I44" i="35"/>
  <c r="K44" i="35"/>
  <c r="L44" i="35"/>
  <c r="E44" i="35"/>
  <c r="E33" i="35"/>
  <c r="H33" i="35"/>
  <c r="G33" i="35"/>
  <c r="F33" i="35"/>
  <c r="J33" i="35"/>
  <c r="K33" i="35"/>
  <c r="L33" i="35"/>
  <c r="H17" i="35"/>
  <c r="I17" i="35"/>
  <c r="G17" i="35"/>
  <c r="J17" i="35"/>
  <c r="K17" i="35"/>
  <c r="L17" i="35"/>
  <c r="F17" i="35"/>
  <c r="G20" i="35"/>
  <c r="L20" i="35"/>
  <c r="F20" i="35"/>
  <c r="E20" i="35"/>
  <c r="K20" i="35"/>
  <c r="I20" i="35"/>
  <c r="J20" i="35"/>
  <c r="H20" i="35"/>
  <c r="G21" i="35"/>
  <c r="E21" i="35"/>
  <c r="F21" i="35"/>
  <c r="L21" i="35"/>
  <c r="K21" i="35"/>
  <c r="J21" i="35"/>
  <c r="I21" i="35"/>
  <c r="H21" i="35"/>
  <c r="C16" i="32" l="1"/>
  <c r="C15" i="32"/>
  <c r="C14" i="32"/>
  <c r="C13" i="32"/>
  <c r="C12" i="32"/>
  <c r="C11" i="32"/>
  <c r="C10" i="32"/>
  <c r="C9" i="32"/>
  <c r="C8" i="32"/>
  <c r="H41" i="27"/>
  <c r="O35" i="27"/>
  <c r="N35" i="27"/>
  <c r="M35" i="27"/>
  <c r="H34" i="27"/>
  <c r="O33" i="27"/>
  <c r="N33" i="27"/>
  <c r="M33" i="27"/>
  <c r="L33" i="27"/>
  <c r="K33" i="27"/>
  <c r="F23" i="27"/>
  <c r="G22" i="27"/>
  <c r="F22" i="27"/>
  <c r="E22" i="27"/>
  <c r="D22" i="27"/>
  <c r="C22" i="27"/>
  <c r="H18" i="27"/>
  <c r="N18" i="27" s="1"/>
  <c r="F17" i="27"/>
  <c r="L17" i="27" s="1"/>
  <c r="E17" i="27"/>
  <c r="E23" i="27" s="1"/>
  <c r="D17" i="27"/>
  <c r="D23" i="27" s="1"/>
  <c r="M16" i="27"/>
  <c r="L16" i="27"/>
  <c r="K16" i="27"/>
  <c r="J16" i="27"/>
  <c r="C16" i="27"/>
  <c r="G15" i="27"/>
  <c r="G21" i="27" s="1"/>
  <c r="F15" i="27"/>
  <c r="F18" i="27" s="1"/>
  <c r="E15" i="27"/>
  <c r="D15" i="27"/>
  <c r="J15" i="27" s="1"/>
  <c r="G13" i="27"/>
  <c r="E13" i="27"/>
  <c r="D13" i="27"/>
  <c r="G11" i="27"/>
  <c r="E11" i="27"/>
  <c r="D11" i="27"/>
  <c r="F9" i="27"/>
  <c r="E9" i="27"/>
  <c r="D9" i="27"/>
  <c r="C2" i="20"/>
  <c r="C3" i="20" s="1"/>
  <c r="C4" i="20" s="1"/>
  <c r="C5" i="20" s="1"/>
  <c r="C6" i="20" s="1"/>
  <c r="C7" i="20" s="1"/>
  <c r="C8" i="20" s="1"/>
  <c r="C9" i="20" s="1"/>
  <c r="C10" i="20" s="1"/>
  <c r="C11" i="20" s="1"/>
  <c r="C12" i="20" s="1"/>
  <c r="C13" i="20" s="1"/>
  <c r="C14" i="20" s="1"/>
  <c r="C15" i="20" s="1"/>
  <c r="C16" i="20" s="1"/>
  <c r="C17" i="20" s="1"/>
  <c r="L2" i="23"/>
  <c r="O30" i="42"/>
  <c r="O29" i="42"/>
  <c r="K29" i="42"/>
  <c r="K30" i="42" s="1"/>
  <c r="O28" i="42"/>
  <c r="O27" i="42"/>
  <c r="K27" i="42"/>
  <c r="K28" i="42" s="1"/>
  <c r="O26" i="42"/>
  <c r="S25" i="42"/>
  <c r="R25" i="42" s="1"/>
  <c r="Q25" i="42" s="1"/>
  <c r="O25" i="42"/>
  <c r="K25" i="42"/>
  <c r="K26" i="42" s="1"/>
  <c r="T24" i="42"/>
  <c r="S24" i="42" s="1"/>
  <c r="R24" i="42" s="1"/>
  <c r="Q24" i="42" s="1"/>
  <c r="O24" i="42"/>
  <c r="U23" i="42"/>
  <c r="T23" i="42" s="1"/>
  <c r="S23" i="42" s="1"/>
  <c r="R23" i="42" s="1"/>
  <c r="Q23" i="42" s="1"/>
  <c r="O23" i="42"/>
  <c r="K23" i="42"/>
  <c r="K24" i="42" s="1"/>
  <c r="O22" i="42"/>
  <c r="R21" i="42"/>
  <c r="Q21" i="42" s="1"/>
  <c r="O21" i="42"/>
  <c r="L20" i="42"/>
  <c r="M20" i="42" s="1"/>
  <c r="J21" i="42" s="1"/>
  <c r="K20" i="42"/>
  <c r="K21" i="42" s="1"/>
  <c r="K22" i="42" s="1"/>
  <c r="AB19" i="42"/>
  <c r="P16" i="42"/>
  <c r="A16" i="42"/>
  <c r="E13" i="42"/>
  <c r="B13" i="42" s="1"/>
  <c r="S13" i="42" s="1"/>
  <c r="X13" i="42" s="1"/>
  <c r="B12" i="42"/>
  <c r="S12" i="42" s="1"/>
  <c r="X12" i="42" s="1"/>
  <c r="B11" i="42"/>
  <c r="S11" i="42" s="1"/>
  <c r="X11" i="42" s="1"/>
  <c r="S10" i="42"/>
  <c r="X10" i="42" s="1"/>
  <c r="B10" i="42"/>
  <c r="S9" i="42"/>
  <c r="X9" i="42" s="1"/>
  <c r="B9" i="42"/>
  <c r="S8" i="42"/>
  <c r="X8" i="42" s="1"/>
  <c r="B8" i="42"/>
  <c r="S7" i="42"/>
  <c r="X7" i="42" s="1"/>
  <c r="B7" i="42"/>
  <c r="S6" i="42"/>
  <c r="X6" i="42" s="1"/>
  <c r="B6" i="42"/>
  <c r="S5" i="42"/>
  <c r="X5" i="42" s="1"/>
  <c r="B5" i="42"/>
  <c r="S4" i="42"/>
  <c r="X4" i="42" s="1"/>
  <c r="B4" i="42"/>
  <c r="F72" i="35"/>
  <c r="F74" i="35" s="1"/>
  <c r="B72" i="35"/>
  <c r="B74" i="35" s="1"/>
  <c r="Y71" i="35"/>
  <c r="M71" i="35"/>
  <c r="L71" i="35" s="1"/>
  <c r="M70" i="35"/>
  <c r="G70" i="35" s="1"/>
  <c r="M69" i="35"/>
  <c r="L69" i="35" s="1"/>
  <c r="M68" i="35"/>
  <c r="G68" i="35" s="1"/>
  <c r="M67" i="35"/>
  <c r="K67" i="35" s="1"/>
  <c r="M66" i="35"/>
  <c r="L66" i="35" s="1"/>
  <c r="M65" i="35"/>
  <c r="G65" i="35" s="1"/>
  <c r="M63" i="35"/>
  <c r="L63" i="35" s="1"/>
  <c r="M62" i="35"/>
  <c r="H62" i="35" s="1"/>
  <c r="M61" i="35"/>
  <c r="K61" i="35" s="1"/>
  <c r="M60" i="35"/>
  <c r="F60" i="35" s="1"/>
  <c r="M59" i="35"/>
  <c r="I59" i="35" s="1"/>
  <c r="M57" i="35"/>
  <c r="L57" i="35" s="1"/>
  <c r="M56" i="35"/>
  <c r="G56" i="35" s="1"/>
  <c r="M54" i="35"/>
  <c r="J54" i="35" s="1"/>
  <c r="M53" i="35"/>
  <c r="M52" i="35"/>
  <c r="H52" i="35" s="1"/>
  <c r="M51" i="35"/>
  <c r="K51" i="35" s="1"/>
  <c r="M50" i="35"/>
  <c r="F50" i="35" s="1"/>
  <c r="M49" i="35"/>
  <c r="I49" i="35" s="1"/>
  <c r="M48" i="35"/>
  <c r="L48" i="35" s="1"/>
  <c r="M47" i="35"/>
  <c r="G47" i="35" s="1"/>
  <c r="M46" i="35"/>
  <c r="J46" i="35" s="1"/>
  <c r="M43" i="35"/>
  <c r="L43" i="35" s="1"/>
  <c r="M40" i="35"/>
  <c r="M39" i="35"/>
  <c r="M37" i="35"/>
  <c r="M36" i="35"/>
  <c r="M35" i="35"/>
  <c r="M34" i="35"/>
  <c r="M32" i="35"/>
  <c r="M31" i="35"/>
  <c r="M26" i="35"/>
  <c r="M25" i="35"/>
  <c r="M24" i="35"/>
  <c r="M23" i="35"/>
  <c r="M22" i="35"/>
  <c r="I22" i="35" s="1"/>
  <c r="M19" i="35"/>
  <c r="D19" i="35" s="1"/>
  <c r="M18" i="35"/>
  <c r="D18" i="35" s="1"/>
  <c r="M16" i="35"/>
  <c r="D16" i="35" s="1"/>
  <c r="M15" i="35"/>
  <c r="D15" i="35" s="1"/>
  <c r="M14" i="35"/>
  <c r="M13" i="35"/>
  <c r="M12" i="35"/>
  <c r="D12" i="35" s="1"/>
  <c r="M11" i="35"/>
  <c r="M10" i="35"/>
  <c r="M8" i="35"/>
  <c r="M6" i="35"/>
  <c r="M5" i="35"/>
  <c r="M4" i="35"/>
  <c r="L4" i="35" s="1"/>
  <c r="Y5" i="35" s="1"/>
  <c r="F25" i="1"/>
  <c r="E25" i="1"/>
  <c r="D25" i="1"/>
  <c r="C25" i="1"/>
  <c r="F24" i="1"/>
  <c r="E24" i="1"/>
  <c r="D24" i="1"/>
  <c r="C24" i="1"/>
  <c r="F23" i="1"/>
  <c r="E23" i="1"/>
  <c r="D23" i="1"/>
  <c r="C23" i="1"/>
  <c r="F22" i="1"/>
  <c r="E22" i="1"/>
  <c r="D22" i="1"/>
  <c r="C22" i="1"/>
  <c r="F21" i="1"/>
  <c r="E21" i="1"/>
  <c r="D21" i="1"/>
  <c r="C21" i="1"/>
  <c r="H29" i="27" s="1"/>
  <c r="F20" i="1"/>
  <c r="E20" i="1"/>
  <c r="D20" i="1"/>
  <c r="C20" i="1"/>
  <c r="O3" i="27" s="1"/>
  <c r="O5" i="27" s="1"/>
  <c r="F19" i="1"/>
  <c r="E19" i="1"/>
  <c r="D19" i="1"/>
  <c r="C19" i="1"/>
  <c r="E29" i="27" s="1"/>
  <c r="F18" i="1"/>
  <c r="E18" i="1"/>
  <c r="D18" i="1"/>
  <c r="C18" i="1"/>
  <c r="F17" i="1"/>
  <c r="E17" i="1"/>
  <c r="D17" i="1"/>
  <c r="C17" i="1"/>
  <c r="C16" i="1"/>
  <c r="B13" i="1"/>
  <c r="B12" i="1"/>
  <c r="B11" i="1"/>
  <c r="B10" i="1"/>
  <c r="B9" i="1"/>
  <c r="B8" i="1"/>
  <c r="B7" i="1"/>
  <c r="B6" i="1"/>
  <c r="F5" i="1"/>
  <c r="F16" i="1" s="1"/>
  <c r="E16" i="1"/>
  <c r="D5" i="1"/>
  <c r="D16" i="1" s="1"/>
  <c r="F15" i="42" l="1"/>
  <c r="F13" i="42"/>
  <c r="P13" i="42" s="1"/>
  <c r="F8" i="35"/>
  <c r="G8" i="35"/>
  <c r="E8" i="35"/>
  <c r="E11" i="35"/>
  <c r="F11" i="35"/>
  <c r="G11" i="35"/>
  <c r="E10" i="35"/>
  <c r="F10" i="35"/>
  <c r="G10" i="35"/>
  <c r="L15" i="42"/>
  <c r="L35" i="35"/>
  <c r="D35" i="35"/>
  <c r="H36" i="35"/>
  <c r="D36" i="35"/>
  <c r="G17" i="27"/>
  <c r="L37" i="35"/>
  <c r="D37" i="35"/>
  <c r="J17" i="27"/>
  <c r="J39" i="35"/>
  <c r="D39" i="35"/>
  <c r="K17" i="27"/>
  <c r="H40" i="35"/>
  <c r="D40" i="35"/>
  <c r="E18" i="27"/>
  <c r="C17" i="27"/>
  <c r="C23" i="27" s="1"/>
  <c r="J32" i="35"/>
  <c r="D32" i="35"/>
  <c r="G34" i="35"/>
  <c r="D34" i="35"/>
  <c r="J5" i="35"/>
  <c r="D5" i="35"/>
  <c r="L6" i="35"/>
  <c r="D6" i="35"/>
  <c r="L31" i="35"/>
  <c r="D31" i="35"/>
  <c r="F19" i="35"/>
  <c r="G19" i="35"/>
  <c r="E19" i="35"/>
  <c r="G25" i="35"/>
  <c r="D25" i="35"/>
  <c r="H22" i="35"/>
  <c r="D22" i="35"/>
  <c r="L26" i="35"/>
  <c r="D26" i="35"/>
  <c r="J24" i="35"/>
  <c r="D24" i="35"/>
  <c r="L23" i="35"/>
  <c r="D23" i="35"/>
  <c r="G18" i="35"/>
  <c r="J14" i="35"/>
  <c r="D14" i="35"/>
  <c r="L19" i="35"/>
  <c r="F15" i="35"/>
  <c r="J16" i="35"/>
  <c r="K13" i="35"/>
  <c r="D13" i="35"/>
  <c r="L11" i="35"/>
  <c r="D11" i="35"/>
  <c r="I10" i="35"/>
  <c r="D10" i="35"/>
  <c r="L8" i="35"/>
  <c r="D8" i="35"/>
  <c r="L15" i="27"/>
  <c r="B17" i="1"/>
  <c r="C15" i="42"/>
  <c r="C49" i="35"/>
  <c r="G49" i="35"/>
  <c r="G66" i="35"/>
  <c r="H66" i="35"/>
  <c r="I71" i="35"/>
  <c r="J33" i="27"/>
  <c r="J34" i="27" s="1"/>
  <c r="N34" i="27" s="1"/>
  <c r="N36" i="27" s="1"/>
  <c r="B19" i="1"/>
  <c r="E73" i="35" s="1"/>
  <c r="C70" i="35"/>
  <c r="G50" i="35"/>
  <c r="D67" i="35"/>
  <c r="D70" i="35"/>
  <c r="E70" i="35"/>
  <c r="E68" i="35"/>
  <c r="F70" i="35"/>
  <c r="H68" i="35"/>
  <c r="K70" i="35"/>
  <c r="J68" i="35"/>
  <c r="L70" i="35"/>
  <c r="L51" i="35"/>
  <c r="F66" i="35"/>
  <c r="G69" i="35"/>
  <c r="J70" i="35"/>
  <c r="H71" i="35"/>
  <c r="M27" i="35"/>
  <c r="H63" i="35"/>
  <c r="K66" i="35"/>
  <c r="I68" i="35"/>
  <c r="C71" i="35"/>
  <c r="E71" i="35"/>
  <c r="D51" i="35"/>
  <c r="C66" i="35"/>
  <c r="E67" i="35"/>
  <c r="E69" i="35"/>
  <c r="H70" i="35"/>
  <c r="F71" i="35"/>
  <c r="E51" i="35"/>
  <c r="E66" i="35"/>
  <c r="L67" i="35"/>
  <c r="F69" i="35"/>
  <c r="I70" i="35"/>
  <c r="G71" i="35"/>
  <c r="B24" i="1"/>
  <c r="K73" i="35" s="1"/>
  <c r="B23" i="1"/>
  <c r="J73" i="35" s="1"/>
  <c r="B5" i="1"/>
  <c r="B18" i="1"/>
  <c r="P3" i="27"/>
  <c r="P5" i="27" s="1"/>
  <c r="I29" i="27"/>
  <c r="G18" i="27"/>
  <c r="B22" i="1"/>
  <c r="I73" i="35" s="1"/>
  <c r="M15" i="27"/>
  <c r="L18" i="27"/>
  <c r="F24" i="27"/>
  <c r="B21" i="1"/>
  <c r="H73" i="35" s="1"/>
  <c r="F21" i="27"/>
  <c r="E24" i="27"/>
  <c r="K18" i="27"/>
  <c r="K15" i="27"/>
  <c r="E21" i="27"/>
  <c r="G29" i="27"/>
  <c r="M3" i="27"/>
  <c r="M5" i="27" s="1"/>
  <c r="B20" i="1"/>
  <c r="G73" i="35" s="1"/>
  <c r="C15" i="27"/>
  <c r="L3" i="27"/>
  <c r="L5" i="27" s="1"/>
  <c r="D18" i="27"/>
  <c r="D21" i="27"/>
  <c r="D29" i="27"/>
  <c r="D31" i="27" s="1"/>
  <c r="B16" i="1"/>
  <c r="D65" i="35"/>
  <c r="C65" i="35"/>
  <c r="C63" i="35"/>
  <c r="E65" i="35"/>
  <c r="D63" i="35"/>
  <c r="I65" i="35"/>
  <c r="G63" i="35"/>
  <c r="L65" i="35"/>
  <c r="F49" i="35"/>
  <c r="E50" i="35"/>
  <c r="L61" i="35"/>
  <c r="F63" i="35"/>
  <c r="H65" i="35"/>
  <c r="H49" i="35"/>
  <c r="H50" i="35"/>
  <c r="I62" i="35"/>
  <c r="J49" i="35"/>
  <c r="K50" i="35"/>
  <c r="J62" i="35"/>
  <c r="J63" i="35"/>
  <c r="K49" i="35"/>
  <c r="D49" i="35"/>
  <c r="C50" i="35"/>
  <c r="E49" i="35"/>
  <c r="D50" i="35"/>
  <c r="E63" i="35"/>
  <c r="F65" i="35"/>
  <c r="E62" i="35"/>
  <c r="C60" i="35"/>
  <c r="D61" i="35"/>
  <c r="E60" i="35"/>
  <c r="G60" i="35"/>
  <c r="H60" i="35"/>
  <c r="K60" i="35"/>
  <c r="E59" i="35"/>
  <c r="D47" i="35"/>
  <c r="E31" i="35"/>
  <c r="F31" i="35"/>
  <c r="K32" i="35"/>
  <c r="K6" i="35"/>
  <c r="F43" i="35"/>
  <c r="C4" i="35"/>
  <c r="D4" i="35"/>
  <c r="K36" i="35"/>
  <c r="J43" i="35"/>
  <c r="E32" i="35"/>
  <c r="J10" i="35"/>
  <c r="G32" i="35"/>
  <c r="I37" i="35"/>
  <c r="I12" i="35"/>
  <c r="H12" i="35"/>
  <c r="J12" i="35"/>
  <c r="G12" i="35"/>
  <c r="F12" i="35"/>
  <c r="E12" i="35"/>
  <c r="K12" i="35"/>
  <c r="L12" i="35"/>
  <c r="M29" i="35"/>
  <c r="M28" i="35"/>
  <c r="E4" i="35"/>
  <c r="E6" i="35"/>
  <c r="G31" i="35"/>
  <c r="G48" i="35"/>
  <c r="L49" i="35"/>
  <c r="I50" i="35"/>
  <c r="F51" i="35"/>
  <c r="E52" i="35"/>
  <c r="J59" i="35"/>
  <c r="I60" i="35"/>
  <c r="F61" i="35"/>
  <c r="C62" i="35"/>
  <c r="K62" i="35"/>
  <c r="J65" i="35"/>
  <c r="I66" i="35"/>
  <c r="F67" i="35"/>
  <c r="C68" i="35"/>
  <c r="K68" i="35"/>
  <c r="H69" i="35"/>
  <c r="J71" i="35"/>
  <c r="F4" i="35"/>
  <c r="F6" i="35"/>
  <c r="H31" i="35"/>
  <c r="H48" i="35"/>
  <c r="J50" i="35"/>
  <c r="G51" i="35"/>
  <c r="I52" i="35"/>
  <c r="J60" i="35"/>
  <c r="G61" i="35"/>
  <c r="D62" i="35"/>
  <c r="L62" i="35"/>
  <c r="I63" i="35"/>
  <c r="K65" i="35"/>
  <c r="J66" i="35"/>
  <c r="G67" i="35"/>
  <c r="D68" i="35"/>
  <c r="L68" i="35"/>
  <c r="I69" i="35"/>
  <c r="K71" i="35"/>
  <c r="G4" i="35"/>
  <c r="G6" i="35"/>
  <c r="I48" i="35"/>
  <c r="H51" i="35"/>
  <c r="H61" i="35"/>
  <c r="H67" i="35"/>
  <c r="J69" i="35"/>
  <c r="D71" i="35"/>
  <c r="E48" i="35"/>
  <c r="E61" i="35"/>
  <c r="H4" i="35"/>
  <c r="H6" i="35"/>
  <c r="E22" i="35"/>
  <c r="K24" i="35"/>
  <c r="L39" i="35"/>
  <c r="J48" i="35"/>
  <c r="L50" i="35"/>
  <c r="I51" i="35"/>
  <c r="D60" i="35"/>
  <c r="L60" i="35"/>
  <c r="I61" i="35"/>
  <c r="F62" i="35"/>
  <c r="K63" i="35"/>
  <c r="D66" i="35"/>
  <c r="I67" i="35"/>
  <c r="F68" i="35"/>
  <c r="C69" i="35"/>
  <c r="K69" i="35"/>
  <c r="I6" i="35"/>
  <c r="C48" i="35"/>
  <c r="K48" i="35"/>
  <c r="J51" i="35"/>
  <c r="J61" i="35"/>
  <c r="G62" i="35"/>
  <c r="J67" i="35"/>
  <c r="D69" i="35"/>
  <c r="F48" i="35"/>
  <c r="J6" i="35"/>
  <c r="K22" i="35"/>
  <c r="H25" i="35"/>
  <c r="E36" i="35"/>
  <c r="D48" i="35"/>
  <c r="C51" i="35"/>
  <c r="C61" i="35"/>
  <c r="C67" i="35"/>
  <c r="K5" i="35"/>
  <c r="J11" i="35"/>
  <c r="H23" i="35"/>
  <c r="E25" i="35"/>
  <c r="I36" i="35"/>
  <c r="G37" i="35"/>
  <c r="H39" i="35"/>
  <c r="K11" i="35"/>
  <c r="F25" i="35"/>
  <c r="J36" i="35"/>
  <c r="H37" i="35"/>
  <c r="K39" i="35"/>
  <c r="H43" i="35"/>
  <c r="C47" i="35"/>
  <c r="I4" i="35"/>
  <c r="E24" i="35"/>
  <c r="J25" i="35"/>
  <c r="L36" i="35"/>
  <c r="K37" i="35"/>
  <c r="E47" i="35"/>
  <c r="K4" i="35"/>
  <c r="J31" i="35"/>
  <c r="E40" i="35"/>
  <c r="C46" i="35"/>
  <c r="H47" i="35"/>
  <c r="E34" i="35"/>
  <c r="F36" i="35"/>
  <c r="I40" i="35"/>
  <c r="E46" i="35"/>
  <c r="H11" i="35"/>
  <c r="E23" i="35"/>
  <c r="H34" i="35"/>
  <c r="G36" i="35"/>
  <c r="E37" i="35"/>
  <c r="G46" i="35"/>
  <c r="E5" i="35"/>
  <c r="I11" i="35"/>
  <c r="F23" i="35"/>
  <c r="L34" i="35"/>
  <c r="F37" i="35"/>
  <c r="E39" i="35"/>
  <c r="E43" i="35"/>
  <c r="K46" i="35"/>
  <c r="E35" i="35"/>
  <c r="L5" i="35"/>
  <c r="Y6" i="35" s="1"/>
  <c r="Y7" i="35" s="1"/>
  <c r="Y8" i="35" s="1"/>
  <c r="K10" i="35"/>
  <c r="J22" i="35"/>
  <c r="G23" i="35"/>
  <c r="L24" i="35"/>
  <c r="I25" i="35"/>
  <c r="F26" i="35"/>
  <c r="L32" i="35"/>
  <c r="I34" i="35"/>
  <c r="F35" i="35"/>
  <c r="J40" i="35"/>
  <c r="G43" i="35"/>
  <c r="D46" i="35"/>
  <c r="L46" i="35"/>
  <c r="I47" i="35"/>
  <c r="L10" i="35"/>
  <c r="G26" i="35"/>
  <c r="J34" i="35"/>
  <c r="G35" i="35"/>
  <c r="F39" i="35"/>
  <c r="K40" i="35"/>
  <c r="J47" i="35"/>
  <c r="F5" i="35"/>
  <c r="H8" i="35"/>
  <c r="L22" i="35"/>
  <c r="I23" i="35"/>
  <c r="F24" i="35"/>
  <c r="K25" i="35"/>
  <c r="H26" i="35"/>
  <c r="I31" i="35"/>
  <c r="F32" i="35"/>
  <c r="K34" i="35"/>
  <c r="H35" i="35"/>
  <c r="J37" i="35"/>
  <c r="G39" i="35"/>
  <c r="L40" i="35"/>
  <c r="I43" i="35"/>
  <c r="F46" i="35"/>
  <c r="K47" i="35"/>
  <c r="J4" i="35"/>
  <c r="G5" i="35"/>
  <c r="I8" i="35"/>
  <c r="J23" i="35"/>
  <c r="G24" i="35"/>
  <c r="L25" i="35"/>
  <c r="I26" i="35"/>
  <c r="I35" i="35"/>
  <c r="L47" i="35"/>
  <c r="E26" i="35"/>
  <c r="H5" i="35"/>
  <c r="J8" i="35"/>
  <c r="F22" i="35"/>
  <c r="K23" i="35"/>
  <c r="H24" i="35"/>
  <c r="J26" i="35"/>
  <c r="K31" i="35"/>
  <c r="H32" i="35"/>
  <c r="J35" i="35"/>
  <c r="I39" i="35"/>
  <c r="F40" i="35"/>
  <c r="K43" i="35"/>
  <c r="H46" i="35"/>
  <c r="I5" i="35"/>
  <c r="K8" i="35"/>
  <c r="H10" i="35"/>
  <c r="G22" i="35"/>
  <c r="I24" i="35"/>
  <c r="K26" i="35"/>
  <c r="I32" i="35"/>
  <c r="F34" i="35"/>
  <c r="K35" i="35"/>
  <c r="G40" i="35"/>
  <c r="I46" i="35"/>
  <c r="F47" i="35"/>
  <c r="G15" i="35"/>
  <c r="E18" i="35"/>
  <c r="H18" i="35"/>
  <c r="I18" i="35"/>
  <c r="E16" i="35"/>
  <c r="H16" i="35"/>
  <c r="K16" i="35"/>
  <c r="L16" i="35"/>
  <c r="J18" i="35"/>
  <c r="F16" i="35"/>
  <c r="K18" i="35"/>
  <c r="H19" i="35"/>
  <c r="G16" i="35"/>
  <c r="L18" i="35"/>
  <c r="I19" i="35"/>
  <c r="J19" i="35"/>
  <c r="I16" i="35"/>
  <c r="F18" i="35"/>
  <c r="K19" i="35"/>
  <c r="H15" i="35"/>
  <c r="I15" i="35"/>
  <c r="J15" i="35"/>
  <c r="K15" i="35"/>
  <c r="L15" i="35"/>
  <c r="E15" i="35"/>
  <c r="K14" i="35"/>
  <c r="L14" i="35"/>
  <c r="F14" i="35"/>
  <c r="G14" i="35"/>
  <c r="E14" i="35"/>
  <c r="H14" i="35"/>
  <c r="I14" i="35"/>
  <c r="L13" i="35"/>
  <c r="E13" i="35"/>
  <c r="F13" i="35"/>
  <c r="G13" i="35"/>
  <c r="H13" i="35"/>
  <c r="I13" i="35"/>
  <c r="J13" i="35"/>
  <c r="E56" i="35"/>
  <c r="C54" i="35"/>
  <c r="G54" i="35"/>
  <c r="D54" i="35"/>
  <c r="H56" i="35"/>
  <c r="E54" i="35"/>
  <c r="K56" i="35"/>
  <c r="K54" i="35"/>
  <c r="L54" i="35"/>
  <c r="H53" i="35"/>
  <c r="C56" i="35"/>
  <c r="J52" i="35"/>
  <c r="C52" i="35"/>
  <c r="K52" i="35"/>
  <c r="D52" i="35"/>
  <c r="L52" i="35"/>
  <c r="F52" i="35"/>
  <c r="G52" i="35"/>
  <c r="J18" i="42"/>
  <c r="E57" i="35"/>
  <c r="I56" i="35"/>
  <c r="F57" i="35"/>
  <c r="C59" i="35"/>
  <c r="K59" i="35"/>
  <c r="J56" i="35"/>
  <c r="G57" i="35"/>
  <c r="D59" i="35"/>
  <c r="L59" i="35"/>
  <c r="H57" i="35"/>
  <c r="D56" i="35"/>
  <c r="L56" i="35"/>
  <c r="I57" i="35"/>
  <c r="F59" i="35"/>
  <c r="J57" i="35"/>
  <c r="G59" i="35"/>
  <c r="F56" i="35"/>
  <c r="C57" i="35"/>
  <c r="K57" i="35"/>
  <c r="H59" i="35"/>
  <c r="D57" i="35"/>
  <c r="F54" i="35"/>
  <c r="H54" i="35"/>
  <c r="I54" i="35"/>
  <c r="O31" i="42"/>
  <c r="I53" i="35"/>
  <c r="C53" i="35"/>
  <c r="K53" i="35"/>
  <c r="D53" i="35"/>
  <c r="L53" i="35"/>
  <c r="E53" i="35"/>
  <c r="J53" i="35"/>
  <c r="F53" i="35"/>
  <c r="G53" i="35"/>
  <c r="Y9" i="35" l="1"/>
  <c r="Y10" i="35" s="1"/>
  <c r="Y11" i="35" s="1"/>
  <c r="Y12" i="35" s="1"/>
  <c r="Y13" i="35" s="1"/>
  <c r="Y14" i="35" s="1"/>
  <c r="Y15" i="35" s="1"/>
  <c r="Y16" i="35" s="1"/>
  <c r="Y17" i="35" s="1"/>
  <c r="Y18" i="35" s="1"/>
  <c r="Y19" i="35" s="1"/>
  <c r="Y20" i="35" s="1"/>
  <c r="Y21" i="35" s="1"/>
  <c r="Y22" i="35" s="1"/>
  <c r="Y23" i="35" s="1"/>
  <c r="Y24" i="35" s="1"/>
  <c r="Y25" i="35" s="1"/>
  <c r="Y26" i="35" s="1"/>
  <c r="Y27" i="35" s="1"/>
  <c r="K2" i="35"/>
  <c r="J2" i="35"/>
  <c r="D2" i="35"/>
  <c r="F4" i="42"/>
  <c r="V4" i="42" s="1"/>
  <c r="I2" i="35"/>
  <c r="G2" i="35"/>
  <c r="H2" i="35"/>
  <c r="M17" i="27"/>
  <c r="G23" i="27"/>
  <c r="G29" i="35"/>
  <c r="D29" i="35"/>
  <c r="I28" i="35"/>
  <c r="D28" i="35"/>
  <c r="I27" i="35"/>
  <c r="D27" i="35"/>
  <c r="L27" i="35"/>
  <c r="F27" i="35"/>
  <c r="G27" i="35"/>
  <c r="K27" i="35"/>
  <c r="H27" i="35"/>
  <c r="J27" i="35"/>
  <c r="E27" i="35"/>
  <c r="F8" i="42"/>
  <c r="R8" i="42" s="1"/>
  <c r="T8" i="42" s="1"/>
  <c r="U8" i="42" s="1"/>
  <c r="F9" i="42"/>
  <c r="Q9" i="42" s="1"/>
  <c r="J28" i="35"/>
  <c r="G28" i="35"/>
  <c r="K34" i="27"/>
  <c r="K36" i="27" s="1"/>
  <c r="M34" i="27"/>
  <c r="M36" i="27" s="1"/>
  <c r="L34" i="27"/>
  <c r="L36" i="27" s="1"/>
  <c r="O34" i="27"/>
  <c r="O36" i="27" s="1"/>
  <c r="N37" i="27"/>
  <c r="N38" i="27" s="1"/>
  <c r="M18" i="27"/>
  <c r="G24" i="27"/>
  <c r="J18" i="27"/>
  <c r="D24" i="27"/>
  <c r="C18" i="27"/>
  <c r="C24" i="27" s="1"/>
  <c r="I15" i="27"/>
  <c r="C21" i="27"/>
  <c r="K29" i="35"/>
  <c r="E28" i="35"/>
  <c r="K28" i="35"/>
  <c r="F28" i="35"/>
  <c r="L28" i="35"/>
  <c r="H28" i="35"/>
  <c r="I29" i="35"/>
  <c r="E29" i="35"/>
  <c r="H29" i="35"/>
  <c r="F29" i="35"/>
  <c r="L29" i="35"/>
  <c r="J29" i="35"/>
  <c r="F12" i="42"/>
  <c r="Q12" i="42" s="1"/>
  <c r="V13" i="42"/>
  <c r="W13" i="42"/>
  <c r="Y13" i="42" s="1"/>
  <c r="Z13" i="42" s="1"/>
  <c r="R13" i="42"/>
  <c r="T13" i="42" s="1"/>
  <c r="U13" i="42" s="1"/>
  <c r="Q13" i="42"/>
  <c r="F7" i="42"/>
  <c r="V7" i="42" s="1"/>
  <c r="F11" i="42"/>
  <c r="V11" i="42" s="1"/>
  <c r="F10" i="42"/>
  <c r="W10" i="42" s="1"/>
  <c r="Y10" i="42" s="1"/>
  <c r="Z10" i="42" s="1"/>
  <c r="Y28" i="35" l="1"/>
  <c r="Y29" i="35" s="1"/>
  <c r="Y30" i="35" s="1"/>
  <c r="Y31" i="35" s="1"/>
  <c r="Y32" i="35" s="1"/>
  <c r="Y33" i="35" s="1"/>
  <c r="Y34" i="35" s="1"/>
  <c r="Y35" i="35" s="1"/>
  <c r="E25" i="42"/>
  <c r="L25" i="42" s="1"/>
  <c r="P8" i="42"/>
  <c r="V8" i="42"/>
  <c r="Q8" i="42"/>
  <c r="W8" i="42"/>
  <c r="Y8" i="42" s="1"/>
  <c r="Z8" i="42" s="1"/>
  <c r="N8" i="42" s="1"/>
  <c r="E26" i="42"/>
  <c r="L26" i="42" s="1"/>
  <c r="W9" i="42"/>
  <c r="Y9" i="42" s="1"/>
  <c r="Z9" i="42" s="1"/>
  <c r="R9" i="42"/>
  <c r="T9" i="42" s="1"/>
  <c r="U9" i="42" s="1"/>
  <c r="V9" i="42"/>
  <c r="P9" i="42"/>
  <c r="O37" i="27"/>
  <c r="O38" i="27" s="1"/>
  <c r="O39" i="27" s="1"/>
  <c r="M37" i="27"/>
  <c r="M38" i="27" s="1"/>
  <c r="F5" i="42"/>
  <c r="Q5" i="42" s="1"/>
  <c r="O16" i="42"/>
  <c r="F6" i="42"/>
  <c r="V6" i="42" s="1"/>
  <c r="C72" i="35"/>
  <c r="C74" i="35" s="1"/>
  <c r="L72" i="35"/>
  <c r="L73" i="35" s="1"/>
  <c r="L74" i="35" s="1"/>
  <c r="E72" i="35"/>
  <c r="E74" i="35" s="1"/>
  <c r="G72" i="35"/>
  <c r="G74" i="35" s="1"/>
  <c r="I72" i="35"/>
  <c r="I74" i="35" s="1"/>
  <c r="L2" i="35"/>
  <c r="K72" i="35"/>
  <c r="K74" i="35" s="1"/>
  <c r="E30" i="42"/>
  <c r="L30" i="42" s="1"/>
  <c r="N13" i="42"/>
  <c r="R12" i="42"/>
  <c r="T12" i="42" s="1"/>
  <c r="U12" i="42" s="1"/>
  <c r="V12" i="42"/>
  <c r="W12" i="42"/>
  <c r="Y12" i="42" s="1"/>
  <c r="Z12" i="42" s="1"/>
  <c r="W7" i="42"/>
  <c r="Y7" i="42" s="1"/>
  <c r="Z7" i="42" s="1"/>
  <c r="E27" i="42"/>
  <c r="L27" i="42" s="1"/>
  <c r="R10" i="42"/>
  <c r="T10" i="42" s="1"/>
  <c r="U10" i="42" s="1"/>
  <c r="N10" i="42" s="1"/>
  <c r="E28" i="42"/>
  <c r="L28" i="42" s="1"/>
  <c r="P12" i="42"/>
  <c r="P10" i="42"/>
  <c r="Q10" i="42"/>
  <c r="H72" i="35"/>
  <c r="H74" i="35" s="1"/>
  <c r="W11" i="42"/>
  <c r="Y11" i="42" s="1"/>
  <c r="Z11" i="42" s="1"/>
  <c r="R11" i="42"/>
  <c r="T11" i="42" s="1"/>
  <c r="U11" i="42" s="1"/>
  <c r="R4" i="42"/>
  <c r="T4" i="42" s="1"/>
  <c r="U4" i="42" s="1"/>
  <c r="P7" i="42"/>
  <c r="Q7" i="42"/>
  <c r="R7" i="42"/>
  <c r="T7" i="42" s="1"/>
  <c r="U7" i="42" s="1"/>
  <c r="E21" i="42"/>
  <c r="L21" i="42" s="1"/>
  <c r="M21" i="42" s="1"/>
  <c r="J22" i="42" s="1"/>
  <c r="V10" i="42"/>
  <c r="P4" i="42"/>
  <c r="P11" i="42"/>
  <c r="E22" i="42"/>
  <c r="L22" i="42" s="1"/>
  <c r="W4" i="42"/>
  <c r="Y4" i="42" s="1"/>
  <c r="Z4" i="42" s="1"/>
  <c r="Q4" i="42"/>
  <c r="Q11" i="42"/>
  <c r="E29" i="42"/>
  <c r="L29" i="42" s="1"/>
  <c r="Y36" i="35" l="1"/>
  <c r="Y37" i="35" s="1"/>
  <c r="Y38" i="35" s="1"/>
  <c r="Y39" i="35" s="1"/>
  <c r="Y40" i="35" s="1"/>
  <c r="Y41" i="35" s="1"/>
  <c r="Y42" i="35" s="1"/>
  <c r="N9" i="42"/>
  <c r="J72" i="35"/>
  <c r="J74" i="35" s="1"/>
  <c r="V5" i="42"/>
  <c r="Q6" i="42"/>
  <c r="R5" i="42"/>
  <c r="T5" i="42" s="1"/>
  <c r="U5" i="42" s="1"/>
  <c r="E23" i="42"/>
  <c r="L23" i="42" s="1"/>
  <c r="W5" i="42"/>
  <c r="Y5" i="42" s="1"/>
  <c r="Z5" i="42" s="1"/>
  <c r="P5" i="42"/>
  <c r="P6" i="42"/>
  <c r="E24" i="42"/>
  <c r="L24" i="42" s="1"/>
  <c r="W6" i="42"/>
  <c r="Y6" i="42" s="1"/>
  <c r="Z6" i="42" s="1"/>
  <c r="R6" i="42"/>
  <c r="T6" i="42" s="1"/>
  <c r="U6" i="42" s="1"/>
  <c r="N12" i="42"/>
  <c r="N7" i="42"/>
  <c r="N11" i="42"/>
  <c r="M22" i="42"/>
  <c r="M4" i="42" s="1"/>
  <c r="N4" i="42"/>
  <c r="Y43" i="35" l="1"/>
  <c r="Y44" i="35" s="1"/>
  <c r="Y45" i="35" s="1"/>
  <c r="Y46" i="35" s="1"/>
  <c r="Y47" i="35" s="1"/>
  <c r="Y48" i="35" s="1"/>
  <c r="Y49" i="35" s="1"/>
  <c r="Y50" i="35" s="1"/>
  <c r="Y51" i="35" s="1"/>
  <c r="Y52" i="35" s="1"/>
  <c r="Y53" i="35" s="1"/>
  <c r="Y54" i="35" s="1"/>
  <c r="Y55" i="35" s="1"/>
  <c r="Y56" i="35" s="1"/>
  <c r="Y57" i="35" s="1"/>
  <c r="Y58" i="35" s="1"/>
  <c r="Y59" i="35" s="1"/>
  <c r="Y60" i="35" s="1"/>
  <c r="Y61" i="35" s="1"/>
  <c r="Y62" i="35" s="1"/>
  <c r="Y63" i="35" s="1"/>
  <c r="Y64" i="35" s="1"/>
  <c r="Y65" i="35" s="1"/>
  <c r="N6" i="42"/>
  <c r="N5" i="42"/>
  <c r="O4" i="42"/>
  <c r="M5" i="42" s="1"/>
  <c r="O5" i="42" l="1"/>
  <c r="J23" i="42" s="1"/>
  <c r="M23" i="42" s="1"/>
  <c r="J24" i="42" s="1"/>
  <c r="M24" i="42" s="1"/>
  <c r="M6" i="42" s="1"/>
  <c r="O6" i="42" s="1"/>
  <c r="M7" i="42" s="1"/>
  <c r="O7" i="42" s="1"/>
  <c r="M8" i="42" s="1"/>
  <c r="O8" i="42" s="1"/>
  <c r="J27" i="42" l="1"/>
  <c r="M27" i="42" s="1"/>
  <c r="J28" i="42" s="1"/>
  <c r="M28" i="42" s="1"/>
  <c r="M10" i="42" s="1"/>
  <c r="O10" i="42" s="1"/>
  <c r="J29" i="42" s="1"/>
  <c r="M29" i="42" s="1"/>
  <c r="J30" i="42" s="1"/>
  <c r="M30" i="42" s="1"/>
  <c r="M11" i="42" s="1"/>
  <c r="O11" i="42" s="1"/>
  <c r="M12" i="42" s="1"/>
  <c r="O12" i="42" s="1"/>
  <c r="M13" i="42" s="1"/>
  <c r="O13" i="42" s="1"/>
  <c r="J25" i="42"/>
  <c r="M25" i="42" s="1"/>
  <c r="J26" i="42" s="1"/>
  <c r="M26" i="42" s="1"/>
  <c r="M9" i="42" s="1"/>
  <c r="O9" i="42" s="1"/>
  <c r="Y66" i="35"/>
  <c r="Y67" i="35" s="1"/>
  <c r="Y68" i="35" s="1"/>
  <c r="Y69" i="35" s="1"/>
  <c r="Y70" i="35" s="1"/>
</calcChain>
</file>

<file path=xl/sharedStrings.xml><?xml version="1.0" encoding="utf-8"?>
<sst xmlns="http://schemas.openxmlformats.org/spreadsheetml/2006/main" count="692" uniqueCount="414">
  <si>
    <t>图例</t>
    <phoneticPr fontId="9" type="noConversion"/>
  </si>
  <si>
    <t>93#汽油</t>
  </si>
  <si>
    <t>0#普柴</t>
  </si>
  <si>
    <t>97#汽油</t>
  </si>
  <si>
    <t>娄底</t>
  </si>
  <si>
    <t>衡阳</t>
  </si>
  <si>
    <t>郴州</t>
  </si>
  <si>
    <t>株洲</t>
  </si>
  <si>
    <t>泵参数</t>
    <phoneticPr fontId="4" type="noConversion"/>
  </si>
  <si>
    <t>序号</t>
  </si>
  <si>
    <t>站场</t>
  </si>
  <si>
    <t>批次名称</t>
  </si>
  <si>
    <t>油品</t>
  </si>
  <si>
    <t>计划总量</t>
  </si>
  <si>
    <t>流量</t>
  </si>
  <si>
    <t>备注</t>
  </si>
  <si>
    <t>t/h</t>
  </si>
  <si>
    <t>97#</t>
  </si>
  <si>
    <t>开始时间</t>
    <phoneticPr fontId="11" type="noConversion"/>
  </si>
  <si>
    <t>结束时间</t>
    <phoneticPr fontId="11" type="noConversion"/>
  </si>
  <si>
    <t>运行
时间</t>
    <phoneticPr fontId="11" type="noConversion"/>
  </si>
  <si>
    <t>t</t>
    <phoneticPr fontId="11" type="noConversion"/>
  </si>
  <si>
    <r>
      <t>m</t>
    </r>
    <r>
      <rPr>
        <vertAlign val="superscript"/>
        <sz val="12"/>
        <color rgb="FF000000"/>
        <rFont val="宋体"/>
        <family val="3"/>
        <charset val="134"/>
      </rPr>
      <t>3</t>
    </r>
    <phoneticPr fontId="11" type="noConversion"/>
  </si>
  <si>
    <r>
      <t>m</t>
    </r>
    <r>
      <rPr>
        <vertAlign val="superscript"/>
        <sz val="12"/>
        <color rgb="FF000000"/>
        <rFont val="宋体"/>
        <family val="3"/>
        <charset val="134"/>
      </rPr>
      <t>3</t>
    </r>
    <r>
      <rPr>
        <sz val="12"/>
        <color rgb="FF000000"/>
        <rFont val="宋体"/>
        <family val="3"/>
        <charset val="134"/>
      </rPr>
      <t>/h</t>
    </r>
    <phoneticPr fontId="11" type="noConversion"/>
  </si>
  <si>
    <t>郴州</t>
    <phoneticPr fontId="9" type="noConversion"/>
  </si>
  <si>
    <t>耒阳</t>
    <phoneticPr fontId="9" type="noConversion"/>
  </si>
  <si>
    <t>衡阳</t>
    <phoneticPr fontId="9" type="noConversion"/>
  </si>
  <si>
    <t>湘潭</t>
    <phoneticPr fontId="9" type="noConversion"/>
  </si>
  <si>
    <t>长沙</t>
  </si>
  <si>
    <t>汨罗</t>
  </si>
  <si>
    <t>七里山</t>
  </si>
  <si>
    <t>长岭</t>
  </si>
  <si>
    <t>用时</t>
    <phoneticPr fontId="9" type="noConversion"/>
  </si>
  <si>
    <t>株洲</t>
    <phoneticPr fontId="9" type="noConversion"/>
  </si>
  <si>
    <t>长沙</t>
    <phoneticPr fontId="9" type="noConversion"/>
  </si>
  <si>
    <t>七里山</t>
    <phoneticPr fontId="9" type="noConversion"/>
  </si>
  <si>
    <t>长岭</t>
    <phoneticPr fontId="9" type="noConversion"/>
  </si>
  <si>
    <t>序号</t>
    <phoneticPr fontId="9" type="noConversion"/>
  </si>
  <si>
    <t>衡阳</t>
    <phoneticPr fontId="4" type="noConversion"/>
  </si>
  <si>
    <t xml:space="preserve"> 批次信息</t>
    <phoneticPr fontId="9" type="noConversion"/>
  </si>
  <si>
    <t>批量号</t>
    <phoneticPr fontId="9" type="noConversion"/>
  </si>
  <si>
    <t>批量号</t>
    <phoneticPr fontId="9" type="noConversion"/>
  </si>
  <si>
    <t>0#车柴</t>
    <phoneticPr fontId="9" type="noConversion"/>
  </si>
  <si>
    <t>车柴</t>
  </si>
  <si>
    <t>93#</t>
  </si>
  <si>
    <t>0#</t>
  </si>
  <si>
    <t>530-490-693-690-890-879</t>
  </si>
  <si>
    <t>879-827</t>
  </si>
  <si>
    <t>827-899-843-733</t>
  </si>
  <si>
    <t>110-120-110</t>
  </si>
  <si>
    <t>310-360-389-317-349</t>
  </si>
  <si>
    <t>403-386-366</t>
  </si>
  <si>
    <t>369-357-354</t>
  </si>
  <si>
    <t>150-140-130-110-450</t>
  </si>
  <si>
    <t>450-280</t>
  </si>
  <si>
    <t>280-200-220-130-223-200-310</t>
  </si>
  <si>
    <t>300-314-396</t>
  </si>
  <si>
    <t>396-280</t>
  </si>
  <si>
    <t>210-200-220-200</t>
  </si>
  <si>
    <t>93-100-155-150-131-165-250</t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</si>
  <si>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-M00-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</si>
  <si>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-D00-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</si>
  <si>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-G93-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</si>
  <si>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-G97-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</si>
  <si>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t>批量号</t>
  </si>
  <si>
    <t>733-703-666-834-807-799-711-680-660-650-630-500</t>
  </si>
  <si>
    <t>150-390-380-307</t>
  </si>
  <si>
    <t>250-120</t>
  </si>
  <si>
    <t>100-130-110-120</t>
  </si>
  <si>
    <t>100-140</t>
  </si>
  <si>
    <t>140-150</t>
  </si>
  <si>
    <t>130-192</t>
  </si>
  <si>
    <t>本段开始时间</t>
    <phoneticPr fontId="9" type="noConversion"/>
  </si>
  <si>
    <t>开始时间</t>
    <phoneticPr fontId="36" type="noConversion"/>
  </si>
  <si>
    <t>结束时间</t>
    <phoneticPr fontId="36" type="noConversion"/>
  </si>
  <si>
    <t>华中分公司长岭－郴州成品油管道</t>
    <phoneticPr fontId="11" type="noConversion"/>
  </si>
  <si>
    <t>批次</t>
    <phoneticPr fontId="36" type="noConversion"/>
  </si>
  <si>
    <t>最终</t>
    <phoneticPr fontId="9" type="noConversion"/>
  </si>
  <si>
    <t>小计</t>
    <phoneticPr fontId="11" type="noConversion"/>
  </si>
  <si>
    <t>长岭</t>
    <phoneticPr fontId="11" type="noConversion"/>
  </si>
  <si>
    <t>七里山</t>
    <phoneticPr fontId="11" type="noConversion"/>
  </si>
  <si>
    <t>汨罗</t>
    <phoneticPr fontId="11" type="noConversion"/>
  </si>
  <si>
    <t>长沙</t>
    <phoneticPr fontId="11" type="noConversion"/>
  </si>
  <si>
    <t>株洲</t>
    <phoneticPr fontId="11" type="noConversion"/>
  </si>
  <si>
    <t>娄底</t>
    <phoneticPr fontId="11" type="noConversion"/>
  </si>
  <si>
    <t>衡阳</t>
    <phoneticPr fontId="11" type="noConversion"/>
  </si>
  <si>
    <t xml:space="preserve">      1、启输，1大1小+1大
      2、93#到长沙，1大+2大+2大
      3、车柴到娄底，1大1小+2大+1大1小
      4、93#到株洲，1大+2大+2大
      5、97#到湘潭，1大1小+2大+2大
      6、93#-2到长沙/93#到衡阳，2大+2大+2大
      7、首站换柴油前，1大1小+2大+2大
      8、97#到衡阳，2大+2大+2大，衡阳尽量大
      9、0#到长沙，1大1小+1大+2大
      10、93#-2到衡阳，1大1小+1大+2大
      11、0#到衡阳，1大1小+1大+1大1小
      12、93#-2到郴州，当郴州下载量低于190时，衡阳启2大
      13、车柴到长沙，1大1小+1大+2大
      14、</t>
    <phoneticPr fontId="9" type="noConversion"/>
  </si>
  <si>
    <t>华中分公司调控中心</t>
    <phoneticPr fontId="11" type="noConversion"/>
  </si>
  <si>
    <t>华中分公司管输批次计划单</t>
    <phoneticPr fontId="11" type="noConversion"/>
  </si>
  <si>
    <t>各输油站：</t>
    <phoneticPr fontId="11" type="noConversion"/>
  </si>
  <si>
    <t>编号：</t>
    <phoneticPr fontId="11" type="noConversion"/>
  </si>
  <si>
    <t xml:space="preserve">   根据需要，现安排管输计划如下：</t>
    <phoneticPr fontId="11" type="noConversion"/>
  </si>
  <si>
    <t>管线名称：长岭-郴州管道</t>
    <phoneticPr fontId="11" type="noConversion"/>
  </si>
  <si>
    <r>
      <rPr>
        <b/>
        <sz val="16"/>
        <color theme="1"/>
        <rFont val="仿宋_GB2312"/>
        <family val="3"/>
        <charset val="134"/>
      </rPr>
      <t>品号</t>
    </r>
    <phoneticPr fontId="11" type="noConversion"/>
  </si>
  <si>
    <r>
      <t>0#</t>
    </r>
    <r>
      <rPr>
        <b/>
        <sz val="16"/>
        <color theme="1"/>
        <rFont val="仿宋_GB2312"/>
        <family val="3"/>
        <charset val="134"/>
      </rPr>
      <t>普柴</t>
    </r>
    <phoneticPr fontId="11" type="noConversion"/>
  </si>
  <si>
    <r>
      <rPr>
        <b/>
        <sz val="16"/>
        <color theme="1"/>
        <rFont val="仿宋_GB2312"/>
        <family val="3"/>
        <charset val="134"/>
      </rPr>
      <t>出库</t>
    </r>
    <phoneticPr fontId="11" type="noConversion"/>
  </si>
  <si>
    <r>
      <rPr>
        <b/>
        <sz val="16"/>
        <color theme="1"/>
        <rFont val="仿宋_GB2312"/>
        <family val="3"/>
        <charset val="134"/>
      </rPr>
      <t>长岭首站</t>
    </r>
    <phoneticPr fontId="11" type="noConversion"/>
  </si>
  <si>
    <r>
      <rPr>
        <b/>
        <sz val="16"/>
        <color theme="1"/>
        <rFont val="仿宋_GB2312"/>
        <family val="3"/>
        <charset val="134"/>
      </rPr>
      <t>入库</t>
    </r>
    <phoneticPr fontId="11" type="noConversion"/>
  </si>
  <si>
    <r>
      <rPr>
        <b/>
        <sz val="16"/>
        <color theme="1"/>
        <rFont val="仿宋_GB2312"/>
        <family val="3"/>
        <charset val="134"/>
      </rPr>
      <t>七里山油库</t>
    </r>
    <phoneticPr fontId="11" type="noConversion"/>
  </si>
  <si>
    <r>
      <rPr>
        <b/>
        <sz val="16"/>
        <color theme="1"/>
        <rFont val="仿宋_GB2312"/>
        <family val="3"/>
        <charset val="134"/>
      </rPr>
      <t>汨罗油库</t>
    </r>
    <phoneticPr fontId="11" type="noConversion"/>
  </si>
  <si>
    <t>长沙霞凝油库</t>
    <phoneticPr fontId="11" type="noConversion"/>
  </si>
  <si>
    <t>株洲815油库</t>
    <phoneticPr fontId="11" type="noConversion"/>
  </si>
  <si>
    <t>娄底双涟油库</t>
    <phoneticPr fontId="11" type="noConversion"/>
  </si>
  <si>
    <t>衡阳大浦油库</t>
    <phoneticPr fontId="11" type="noConversion"/>
  </si>
  <si>
    <t>郴州管道油库</t>
    <phoneticPr fontId="11" type="noConversion"/>
  </si>
  <si>
    <t>制表人：张贺</t>
    <phoneticPr fontId="11" type="noConversion"/>
  </si>
  <si>
    <t>调控中心</t>
    <phoneticPr fontId="11" type="noConversion"/>
  </si>
  <si>
    <t>耒阳油库</t>
    <phoneticPr fontId="42" type="noConversion"/>
  </si>
  <si>
    <t>车柴到耒阳，1大+1大1小+2大</t>
    <phoneticPr fontId="9" type="noConversion"/>
  </si>
  <si>
    <t>P-2~4</t>
    <phoneticPr fontId="4" type="noConversion"/>
  </si>
  <si>
    <t>P-2~4</t>
    <phoneticPr fontId="9" type="noConversion"/>
  </si>
  <si>
    <t>湘潭（娄底）</t>
    <phoneticPr fontId="4" type="noConversion"/>
  </si>
  <si>
    <t>Q</t>
    <phoneticPr fontId="9" type="noConversion"/>
  </si>
  <si>
    <t>d</t>
    <phoneticPr fontId="9" type="noConversion"/>
  </si>
  <si>
    <t>湘潭（郴州）</t>
    <phoneticPr fontId="4" type="noConversion"/>
  </si>
  <si>
    <t>柴油粘度γ</t>
    <phoneticPr fontId="4" type="noConversion"/>
  </si>
  <si>
    <t>汽油粘度γ</t>
    <phoneticPr fontId="4" type="noConversion"/>
  </si>
  <si>
    <t>D</t>
    <phoneticPr fontId="9" type="noConversion"/>
  </si>
  <si>
    <t>V</t>
    <phoneticPr fontId="9" type="noConversion"/>
  </si>
  <si>
    <t>h1</t>
    <phoneticPr fontId="9" type="noConversion"/>
  </si>
  <si>
    <t>h2</t>
    <phoneticPr fontId="9" type="noConversion"/>
  </si>
  <si>
    <t>管段油品</t>
    <phoneticPr fontId="4" type="noConversion"/>
  </si>
  <si>
    <t>柴油长度km</t>
    <phoneticPr fontId="9" type="noConversion"/>
  </si>
  <si>
    <t>柴油压差Mpa</t>
    <phoneticPr fontId="4" type="noConversion"/>
  </si>
  <si>
    <t>汽油油长度km</t>
    <phoneticPr fontId="9" type="noConversion"/>
  </si>
  <si>
    <t>汽油摩阻m</t>
    <phoneticPr fontId="4" type="noConversion"/>
  </si>
  <si>
    <t>汽油压差Mpa</t>
    <phoneticPr fontId="4" type="noConversion"/>
  </si>
  <si>
    <t>下站/高点</t>
    <phoneticPr fontId="4" type="noConversion"/>
  </si>
  <si>
    <t>L0</t>
    <phoneticPr fontId="9" type="noConversion"/>
  </si>
  <si>
    <t>过站体积m³</t>
    <phoneticPr fontId="4" type="noConversion"/>
  </si>
  <si>
    <t>柴油摩阻m</t>
    <phoneticPr fontId="4" type="noConversion"/>
  </si>
  <si>
    <t>修正</t>
    <phoneticPr fontId="9" type="noConversion"/>
  </si>
  <si>
    <t>93#到湘潭前约5小时，1大1小+1大</t>
    <phoneticPr fontId="9" type="noConversion"/>
  </si>
  <si>
    <t>93#到湘潭2大+2大+0大+1大</t>
    <phoneticPr fontId="9" type="noConversion"/>
  </si>
  <si>
    <t>93#-2到湘潭，1大1小+1大+1大(湘)+1大或1大1小+2大+0大+1大</t>
    <phoneticPr fontId="9" type="noConversion"/>
  </si>
  <si>
    <t>93#到衡阳，1大1小+1大+1大1小+1大1小或1大1小+1大+1大+2大或1大1小+2大+0大+1大1小</t>
    <phoneticPr fontId="9" type="noConversion"/>
  </si>
  <si>
    <t>车柴到长沙，1大+1大+1大+1大1小或1大+1大1小+0大+1大1小</t>
    <phoneticPr fontId="9" type="noConversion"/>
  </si>
  <si>
    <t>93#到郴州,1大+1大+1大+1大或1大+1大1小+0大+1大</t>
    <phoneticPr fontId="9" type="noConversion"/>
  </si>
  <si>
    <t>衡阳下载结束，1大+1大1小+0大+1大</t>
    <phoneticPr fontId="9" type="noConversion"/>
  </si>
  <si>
    <t>耒阳下载结束，1大+1大1小+0大+1大1小</t>
    <phoneticPr fontId="9" type="noConversion"/>
  </si>
  <si>
    <t>车柴过耒阳，衡阳切2大</t>
    <phoneticPr fontId="9" type="noConversion"/>
  </si>
  <si>
    <t>启输,配泵、流量及下载顺序以湘潭泵站投产方案及投产指挥部指令为准</t>
    <phoneticPr fontId="9" type="noConversion"/>
  </si>
  <si>
    <t>娄底下载结束，1大+1大</t>
    <phoneticPr fontId="9" type="noConversion"/>
  </si>
  <si>
    <t>普柴到湘潭前，1大+1大+1大(湘)或1大+2大</t>
    <phoneticPr fontId="9" type="noConversion"/>
  </si>
  <si>
    <t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t>
    <phoneticPr fontId="9" type="noConversion"/>
  </si>
  <si>
    <t>备注：1、启输,配泵、流量及下载顺序以湘潭泵站投产方案及投产指挥部指令为准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t>
    <phoneticPr fontId="9" type="noConversion"/>
  </si>
  <si>
    <t>下站运行限制压力</t>
    <phoneticPr fontId="4" type="noConversion"/>
  </si>
  <si>
    <t>大于</t>
    <phoneticPr fontId="4" type="noConversion"/>
  </si>
  <si>
    <t>小于</t>
    <phoneticPr fontId="4" type="noConversion"/>
  </si>
  <si>
    <t>总</t>
    <phoneticPr fontId="9" type="noConversion"/>
  </si>
  <si>
    <t>长</t>
    <phoneticPr fontId="9" type="noConversion"/>
  </si>
  <si>
    <t>娄</t>
    <phoneticPr fontId="9" type="noConversion"/>
  </si>
  <si>
    <t>南</t>
    <phoneticPr fontId="9" type="noConversion"/>
  </si>
  <si>
    <t>株洲</t>
    <phoneticPr fontId="9" type="noConversion"/>
  </si>
  <si>
    <t>娄底</t>
    <phoneticPr fontId="4" type="noConversion"/>
  </si>
  <si>
    <t>管段名称</t>
    <phoneticPr fontId="4" type="noConversion"/>
  </si>
  <si>
    <t>管线长度km</t>
    <phoneticPr fontId="4" type="noConversion"/>
  </si>
  <si>
    <t>管径m</t>
    <phoneticPr fontId="4" type="noConversion"/>
  </si>
  <si>
    <t>壁厚m</t>
    <phoneticPr fontId="4" type="noConversion"/>
  </si>
  <si>
    <r>
      <t>管容m</t>
    </r>
    <r>
      <rPr>
        <b/>
        <vertAlign val="superscript"/>
        <sz val="12"/>
        <rFont val="宋体"/>
        <family val="3"/>
        <charset val="134"/>
      </rPr>
      <t>3</t>
    </r>
    <phoneticPr fontId="4" type="noConversion"/>
  </si>
  <si>
    <t>流量m3/h</t>
    <phoneticPr fontId="4" type="noConversion"/>
  </si>
  <si>
    <t>高程m</t>
    <phoneticPr fontId="4" type="noConversion"/>
  </si>
  <si>
    <t>站内节流MPa</t>
    <phoneticPr fontId="4" type="noConversion"/>
  </si>
  <si>
    <t>汽顶柴界面</t>
    <phoneticPr fontId="4" type="noConversion"/>
  </si>
  <si>
    <t>柴顶汽界面</t>
    <phoneticPr fontId="4" type="noConversion"/>
  </si>
  <si>
    <t>上站出站压力Mpa</t>
    <phoneticPr fontId="4" type="noConversion"/>
  </si>
  <si>
    <t>总摩阻Mpa</t>
    <phoneticPr fontId="4" type="noConversion"/>
  </si>
  <si>
    <t>下站进站压力Mpa</t>
    <phoneticPr fontId="4" type="noConversion"/>
  </si>
  <si>
    <t>流速m/s</t>
    <phoneticPr fontId="4" type="noConversion"/>
  </si>
  <si>
    <t>柴油密度</t>
    <phoneticPr fontId="4" type="noConversion"/>
  </si>
  <si>
    <t>汽油密度</t>
    <phoneticPr fontId="4" type="noConversion"/>
  </si>
  <si>
    <t>高点压力</t>
    <phoneticPr fontId="4" type="noConversion"/>
  </si>
  <si>
    <t>上站</t>
    <phoneticPr fontId="4" type="noConversion"/>
  </si>
  <si>
    <t>雷诺数Re</t>
    <phoneticPr fontId="4" type="noConversion"/>
  </si>
  <si>
    <t>水力坡降(柴油)</t>
    <phoneticPr fontId="4" type="noConversion"/>
  </si>
  <si>
    <t>水力坡降(汽油)</t>
    <phoneticPr fontId="4" type="noConversion"/>
  </si>
  <si>
    <t>上站限值</t>
    <phoneticPr fontId="9" type="noConversion"/>
  </si>
  <si>
    <t>湖南二期</t>
    <phoneticPr fontId="4" type="noConversion"/>
  </si>
  <si>
    <t>不大于</t>
    <phoneticPr fontId="9" type="noConversion"/>
  </si>
  <si>
    <t>七里山-汨罗</t>
    <phoneticPr fontId="4" type="noConversion"/>
  </si>
  <si>
    <t>汨罗-长沙</t>
    <phoneticPr fontId="4" type="noConversion"/>
  </si>
  <si>
    <t>长沙-湘潭</t>
    <phoneticPr fontId="4" type="noConversion"/>
  </si>
  <si>
    <t>湘潭-株洲</t>
    <phoneticPr fontId="11" type="noConversion"/>
  </si>
  <si>
    <t>湘潭-娄底</t>
    <phoneticPr fontId="11" type="noConversion"/>
  </si>
  <si>
    <t>湘潭-衡阳</t>
    <phoneticPr fontId="4" type="noConversion"/>
  </si>
  <si>
    <t>衡阳-耒阳</t>
    <phoneticPr fontId="4" type="noConversion"/>
  </si>
  <si>
    <t>耒阳-高点</t>
    <phoneticPr fontId="4" type="noConversion"/>
  </si>
  <si>
    <t>高点-郴州</t>
    <phoneticPr fontId="4" type="noConversion"/>
  </si>
  <si>
    <t>湘潭</t>
    <phoneticPr fontId="11" type="noConversion"/>
  </si>
  <si>
    <t>耒阳</t>
    <phoneticPr fontId="11" type="noConversion"/>
  </si>
  <si>
    <t>汽</t>
    <phoneticPr fontId="11" type="noConversion"/>
  </si>
  <si>
    <t>站场</t>
    <phoneticPr fontId="4" type="noConversion"/>
  </si>
  <si>
    <t>泵号</t>
    <phoneticPr fontId="4" type="noConversion"/>
  </si>
  <si>
    <t>H-Q特性曲线</t>
    <phoneticPr fontId="4" type="noConversion"/>
  </si>
  <si>
    <t>配泵方案</t>
    <phoneticPr fontId="4" type="noConversion"/>
  </si>
  <si>
    <r>
      <t>额定流量（m</t>
    </r>
    <r>
      <rPr>
        <b/>
        <vertAlign val="superscript"/>
        <sz val="12"/>
        <rFont val="宋体"/>
        <family val="3"/>
        <charset val="134"/>
      </rPr>
      <t>3</t>
    </r>
    <r>
      <rPr>
        <b/>
        <sz val="12"/>
        <rFont val="宋体"/>
        <family val="3"/>
        <charset val="134"/>
      </rPr>
      <t>/h)</t>
    </r>
    <phoneticPr fontId="4" type="noConversion"/>
  </si>
  <si>
    <t>额定扬程(m)</t>
    <phoneticPr fontId="4" type="noConversion"/>
  </si>
  <si>
    <t>实际扬程（m)</t>
    <phoneticPr fontId="4" type="noConversion"/>
  </si>
  <si>
    <t>额定电压(KV)</t>
    <phoneticPr fontId="4" type="noConversion"/>
  </si>
  <si>
    <t>额定电流(A)</t>
    <phoneticPr fontId="4" type="noConversion"/>
  </si>
  <si>
    <t>额定功率(KW)</t>
    <phoneticPr fontId="4" type="noConversion"/>
  </si>
  <si>
    <t>入口压力(MPa)</t>
    <phoneticPr fontId="4" type="noConversion"/>
  </si>
  <si>
    <t>过泵密度</t>
    <phoneticPr fontId="9" type="noConversion"/>
  </si>
  <si>
    <t>泵做功（MPa)</t>
    <phoneticPr fontId="4" type="noConversion"/>
  </si>
  <si>
    <t>出口压力（MPa)</t>
    <phoneticPr fontId="4" type="noConversion"/>
  </si>
  <si>
    <t>出站泄压（MPa)</t>
    <phoneticPr fontId="4" type="noConversion"/>
  </si>
  <si>
    <t>长岭</t>
    <phoneticPr fontId="4" type="noConversion"/>
  </si>
  <si>
    <t>B-1~3</t>
    <phoneticPr fontId="4" type="noConversion"/>
  </si>
  <si>
    <t>P-1</t>
    <phoneticPr fontId="4" type="noConversion"/>
  </si>
  <si>
    <t>汨罗</t>
    <phoneticPr fontId="4" type="noConversion"/>
  </si>
  <si>
    <t>车</t>
    <phoneticPr fontId="9" type="noConversion"/>
  </si>
  <si>
    <t>0#车</t>
    <phoneticPr fontId="9" type="noConversion"/>
  </si>
  <si>
    <t>0#普</t>
    <phoneticPr fontId="9" type="noConversion"/>
  </si>
  <si>
    <t>停输</t>
    <phoneticPr fontId="9" type="noConversion"/>
  </si>
  <si>
    <t>小计</t>
    <phoneticPr fontId="11" type="noConversion"/>
  </si>
  <si>
    <t>0#普柴</t>
    <phoneticPr fontId="11" type="noConversion"/>
  </si>
  <si>
    <t>0#车柴</t>
    <phoneticPr fontId="11" type="noConversion"/>
  </si>
  <si>
    <t>长岭</t>
    <phoneticPr fontId="11" type="noConversion"/>
  </si>
  <si>
    <t>七里山</t>
    <phoneticPr fontId="11" type="noConversion"/>
  </si>
  <si>
    <t>汨罗</t>
    <phoneticPr fontId="11" type="noConversion"/>
  </si>
  <si>
    <t>长沙</t>
    <phoneticPr fontId="11" type="noConversion"/>
  </si>
  <si>
    <t>株洲</t>
    <phoneticPr fontId="11" type="noConversion"/>
  </si>
  <si>
    <t>娄底</t>
    <phoneticPr fontId="11" type="noConversion"/>
  </si>
  <si>
    <t>衡阳</t>
    <phoneticPr fontId="11" type="noConversion"/>
  </si>
  <si>
    <t>耒阳</t>
    <phoneticPr fontId="4" type="noConversion"/>
  </si>
  <si>
    <t>郴州</t>
    <phoneticPr fontId="11" type="noConversion"/>
  </si>
  <si>
    <t>93#</t>
    <phoneticPr fontId="11" type="noConversion"/>
  </si>
  <si>
    <t>97#</t>
    <phoneticPr fontId="11" type="noConversion"/>
  </si>
  <si>
    <t>0#</t>
    <phoneticPr fontId="11" type="noConversion"/>
  </si>
  <si>
    <t>车柴</t>
    <phoneticPr fontId="11" type="noConversion"/>
  </si>
  <si>
    <t>郴州</t>
    <phoneticPr fontId="9" type="noConversion"/>
  </si>
  <si>
    <t>比例</t>
    <phoneticPr fontId="9" type="noConversion"/>
  </si>
  <si>
    <t>流量</t>
    <phoneticPr fontId="9" type="noConversion"/>
  </si>
  <si>
    <t>下载</t>
    <phoneticPr fontId="9" type="noConversion"/>
  </si>
  <si>
    <t>2大+2大+1小/1小1大</t>
    <phoneticPr fontId="9" type="noConversion"/>
  </si>
  <si>
    <t>车柴到长沙</t>
    <phoneticPr fontId="9" type="noConversion"/>
  </si>
  <si>
    <t>车柴到长沙前</t>
    <phoneticPr fontId="9" type="noConversion"/>
  </si>
  <si>
    <t>车柴到长沙后</t>
    <phoneticPr fontId="9" type="noConversion"/>
  </si>
  <si>
    <t>第一段</t>
    <phoneticPr fontId="9" type="noConversion"/>
  </si>
  <si>
    <t>其他</t>
    <phoneticPr fontId="9" type="noConversion"/>
  </si>
  <si>
    <t>长沙</t>
    <phoneticPr fontId="9" type="noConversion"/>
  </si>
  <si>
    <t>其他</t>
    <phoneticPr fontId="9" type="noConversion"/>
  </si>
  <si>
    <t>计划</t>
    <phoneticPr fontId="9" type="noConversion"/>
  </si>
  <si>
    <t>已下</t>
    <phoneticPr fontId="9" type="noConversion"/>
  </si>
  <si>
    <t>剩余</t>
    <phoneticPr fontId="9" type="noConversion"/>
  </si>
  <si>
    <t>株洲</t>
    <phoneticPr fontId="9" type="noConversion"/>
  </si>
  <si>
    <t>南线</t>
    <phoneticPr fontId="9" type="noConversion"/>
  </si>
  <si>
    <t>华中分公司长岭－郴州成品油管道</t>
    <phoneticPr fontId="11" type="noConversion"/>
  </si>
  <si>
    <r>
      <t>9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#汽油</t>
    </r>
    <phoneticPr fontId="36" type="noConversion"/>
  </si>
  <si>
    <r>
      <t>9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#汽油</t>
    </r>
    <phoneticPr fontId="36" type="noConversion"/>
  </si>
  <si>
    <t>92#清洁</t>
    <phoneticPr fontId="11" type="noConversion"/>
  </si>
  <si>
    <t>95#清洁</t>
    <phoneticPr fontId="11" type="noConversion"/>
  </si>
  <si>
    <t>92#-2</t>
    <phoneticPr fontId="9" type="noConversion"/>
  </si>
  <si>
    <t>1、92#2到长沙</t>
    <phoneticPr fontId="9" type="noConversion"/>
  </si>
  <si>
    <t>比例</t>
    <phoneticPr fontId="9" type="noConversion"/>
  </si>
  <si>
    <t>体积</t>
    <phoneticPr fontId="9" type="noConversion"/>
  </si>
  <si>
    <t>第二段下载量</t>
    <phoneticPr fontId="9" type="noConversion"/>
  </si>
  <si>
    <t>3、车柴到长沙</t>
    <phoneticPr fontId="9" type="noConversion"/>
  </si>
  <si>
    <t>第一段下载量</t>
    <phoneticPr fontId="9" type="noConversion"/>
  </si>
  <si>
    <t>总量</t>
    <phoneticPr fontId="9" type="noConversion"/>
  </si>
  <si>
    <t>0.1、开娄底后</t>
    <phoneticPr fontId="9" type="noConversion"/>
  </si>
  <si>
    <t>0.2、开娄底前</t>
    <phoneticPr fontId="9" type="noConversion"/>
  </si>
  <si>
    <t>0、第一段下载量</t>
    <phoneticPr fontId="9" type="noConversion"/>
  </si>
  <si>
    <t>长岭-汨罗</t>
    <phoneticPr fontId="4" type="noConversion"/>
  </si>
  <si>
    <t>吨</t>
    <phoneticPr fontId="9" type="noConversion"/>
  </si>
  <si>
    <t>↑此处为质量！</t>
    <phoneticPr fontId="9" type="noConversion"/>
  </si>
  <si>
    <t>↑算七汨</t>
    <phoneticPr fontId="9" type="noConversion"/>
  </si>
  <si>
    <t>↓不算七汨</t>
    <phoneticPr fontId="9" type="noConversion"/>
  </si>
  <si>
    <t>郴州</t>
    <phoneticPr fontId="9" type="noConversion"/>
  </si>
  <si>
    <r>
      <t>92#</t>
    </r>
    <r>
      <rPr>
        <b/>
        <sz val="16"/>
        <color theme="1"/>
        <rFont val="仿宋_GB2312"/>
        <family val="3"/>
        <charset val="134"/>
      </rPr>
      <t>清洁</t>
    </r>
    <phoneticPr fontId="11" type="noConversion"/>
  </si>
  <si>
    <r>
      <t>95#</t>
    </r>
    <r>
      <rPr>
        <b/>
        <sz val="16"/>
        <color theme="1"/>
        <rFont val="仿宋_GB2312"/>
        <family val="3"/>
        <charset val="134"/>
      </rPr>
      <t>清洁</t>
    </r>
    <phoneticPr fontId="11" type="noConversion"/>
  </si>
  <si>
    <t>电机参数</t>
    <phoneticPr fontId="4" type="noConversion"/>
  </si>
  <si>
    <t>娄底</t>
    <phoneticPr fontId="9" type="noConversion"/>
  </si>
  <si>
    <t>汨罗</t>
    <phoneticPr fontId="9" type="noConversion"/>
  </si>
  <si>
    <t>2、92#2到湘潭</t>
    <phoneticPr fontId="9" type="noConversion"/>
  </si>
  <si>
    <t>抄送：经营管理处   湖南输油管理处                 抄发：长岭－郴州管道各输油站</t>
  </si>
  <si>
    <r>
      <t>0#</t>
    </r>
    <r>
      <rPr>
        <b/>
        <sz val="16"/>
        <color theme="1"/>
        <rFont val="仿宋_GB2312"/>
        <family val="3"/>
        <charset val="134"/>
      </rPr>
      <t>车柴</t>
    </r>
    <phoneticPr fontId="11" type="noConversion"/>
  </si>
  <si>
    <t>92#</t>
  </si>
  <si>
    <t xml:space="preserve">备注：1、接上批次执行
      2、计算密度 92#745kg/m³,95#750kg/m³,车柴850kg/m³，普柴860kg/m³；
      3、各站部分混油头后需安排少量（50吨以内）后行油品下载（计划中未列出），请通知油库做好准备；
      4、各油库对于每种下载油品应有至少200吨冗余空容，若冗余库容不足200吨，请提前告知中控。
     </t>
    <phoneticPr fontId="9" type="noConversion"/>
  </si>
  <si>
    <t>600-620</t>
  </si>
  <si>
    <t>18日 20:00</t>
  </si>
  <si>
    <t>19日 14:24</t>
  </si>
  <si>
    <t>19日 16:24</t>
  </si>
  <si>
    <t>20日 14:27</t>
  </si>
  <si>
    <t>20日 05:07</t>
  </si>
  <si>
    <t>17-M00-0603</t>
  </si>
  <si>
    <t>17-G92-0603</t>
  </si>
  <si>
    <t>17-G95-0603</t>
  </si>
  <si>
    <t>CC170603</t>
    <phoneticPr fontId="36" type="noConversion"/>
  </si>
  <si>
    <r>
      <t>编制：张贺</t>
    </r>
    <r>
      <rPr>
        <sz val="16"/>
        <color rgb="FF000000"/>
        <rFont val="Times New Roman"/>
        <family val="1"/>
      </rPr>
      <t xml:space="preserve">        </t>
    </r>
    <r>
      <rPr>
        <sz val="16"/>
        <color rgb="FF000000"/>
        <rFont val="宋体"/>
        <family val="3"/>
        <charset val="134"/>
      </rPr>
      <t>审核</t>
    </r>
    <r>
      <rPr>
        <sz val="16"/>
        <color rgb="FF000000"/>
        <rFont val="Times New Roman"/>
        <family val="1"/>
      </rPr>
      <t xml:space="preserve">:                     </t>
    </r>
    <r>
      <rPr>
        <sz val="16"/>
        <color rgb="FF000000"/>
        <rFont val="宋体"/>
        <family val="3"/>
        <charset val="134"/>
      </rPr>
      <t>审批：</t>
    </r>
    <r>
      <rPr>
        <sz val="16"/>
        <color rgb="FF000000"/>
        <rFont val="Times New Roman"/>
        <family val="1"/>
      </rPr>
      <t xml:space="preserve">        </t>
    </r>
    <phoneticPr fontId="11" type="noConversion"/>
  </si>
  <si>
    <t>启输日期：2017.6.18</t>
    <phoneticPr fontId="11" type="noConversion"/>
  </si>
  <si>
    <t>审核：</t>
    <phoneticPr fontId="11" type="noConversion"/>
  </si>
  <si>
    <t>选用(填1)</t>
    <phoneticPr fontId="4" type="noConversion"/>
  </si>
  <si>
    <t>95#</t>
  </si>
  <si>
    <t>620-600-563</t>
  </si>
  <si>
    <t>555-605-625-555-835-860-848-863-802-789</t>
  </si>
  <si>
    <t>789-797-831-571-542-490-530</t>
  </si>
  <si>
    <t>50-69</t>
  </si>
  <si>
    <t>100-80-95</t>
  </si>
  <si>
    <t>279-270</t>
  </si>
  <si>
    <t>151-149</t>
  </si>
  <si>
    <t>351-320</t>
  </si>
  <si>
    <t>240-251-247-249-260</t>
  </si>
  <si>
    <t>352-341-180-225</t>
  </si>
  <si>
    <t>225-196</t>
  </si>
  <si>
    <t>233-240-288</t>
  </si>
  <si>
    <t>288-266-262</t>
  </si>
  <si>
    <t>262-265-276-262</t>
  </si>
  <si>
    <t>180-244</t>
  </si>
  <si>
    <t>210-250-200-240</t>
  </si>
  <si>
    <t>240-285</t>
  </si>
  <si>
    <t>95-90-100</t>
  </si>
  <si>
    <t>耒阳</t>
  </si>
  <si>
    <t>50-62-70</t>
  </si>
  <si>
    <t>70-80-70</t>
  </si>
  <si>
    <t>100-125-140</t>
  </si>
  <si>
    <t>190-170-200</t>
  </si>
  <si>
    <t>200-120-130</t>
  </si>
  <si>
    <t>130-122-192</t>
  </si>
  <si>
    <t>21日 13:15</t>
  </si>
  <si>
    <t>24日 00:04</t>
  </si>
  <si>
    <t>28日 20:52</t>
  </si>
  <si>
    <t>21日 13:55</t>
  </si>
  <si>
    <t>22日 00:05</t>
  </si>
  <si>
    <t>22日 13:32</t>
  </si>
  <si>
    <t>23日 04:09</t>
  </si>
  <si>
    <t>20日 23:58</t>
  </si>
  <si>
    <t>21日 02:05</t>
  </si>
  <si>
    <t>22日 02:17</t>
  </si>
  <si>
    <t>22日 17:49</t>
  </si>
  <si>
    <t>25日 01:24</t>
  </si>
  <si>
    <t>26日 21:11</t>
  </si>
  <si>
    <t>21日 07:13</t>
  </si>
  <si>
    <t>22日 21:43</t>
  </si>
  <si>
    <t>23日 12:15</t>
  </si>
  <si>
    <t>25日 19:03</t>
  </si>
  <si>
    <t>21日 16:09</t>
  </si>
  <si>
    <t>22日 22:17</t>
  </si>
  <si>
    <t>23日 09:28</t>
  </si>
  <si>
    <t>23日 11:01</t>
  </si>
  <si>
    <t>24日 05:15</t>
  </si>
  <si>
    <t>24日 17:01</t>
  </si>
  <si>
    <t>20日 21:06</t>
  </si>
  <si>
    <t>25日 12:37</t>
  </si>
  <si>
    <t>26日 23:14</t>
  </si>
  <si>
    <t>25日 11:42</t>
  </si>
  <si>
    <t>26日 14:21</t>
  </si>
  <si>
    <t>27日 03:41</t>
  </si>
  <si>
    <t xml:space="preserve">备注：1、接上批次计划执行，CC170603(临时)计划未执行部分作废；
      2、计算密度 92#745kg/m³,95#750kg/m³,车柴850kg/m³，普柴860kg/m³；
      3、各站部分混油头后需安排少量（50吨以内）后行油品下载（计划中未列出），请通知油库做好准备；
      4、各油库对于每种下载油品应有至少200吨冗余空容，若冗余库容不足200吨，请提前告知中控；
      5、长郴管道清管进行中，请中控及站场注意配合。
     </t>
    <phoneticPr fontId="36" type="noConversion"/>
  </si>
  <si>
    <t>17年6月份管输运行计划</t>
    <phoneticPr fontId="9" type="noConversion"/>
  </si>
  <si>
    <t>(批次编号:CC170603)</t>
    <phoneticPr fontId="11" type="noConversion"/>
  </si>
  <si>
    <t>2017年6月19日</t>
    <phoneticPr fontId="9" type="noConversion"/>
  </si>
  <si>
    <t>2017年6月份管输运行计划</t>
    <phoneticPr fontId="11" type="noConversion"/>
  </si>
  <si>
    <t>华中分公司调控中心                         批次编号：CC170603                          2017年6月19日</t>
    <phoneticPr fontId="11" type="noConversion"/>
  </si>
  <si>
    <t>CC170603-1</t>
    <phoneticPr fontId="42" type="noConversion"/>
  </si>
  <si>
    <t>备注：18日晚启输，CC170603批次计划单作废。</t>
    <phoneticPr fontId="11" type="noConversion"/>
  </si>
  <si>
    <t>管道拓扑</t>
    <phoneticPr fontId="53" type="noConversion"/>
  </si>
  <si>
    <t>节点名</t>
    <phoneticPr fontId="53" type="noConversion"/>
  </si>
  <si>
    <t>长岭</t>
    <phoneticPr fontId="53" type="noConversion"/>
  </si>
  <si>
    <t>七里山</t>
    <phoneticPr fontId="53" type="noConversion"/>
  </si>
  <si>
    <t>节点号</t>
    <phoneticPr fontId="53" type="noConversion"/>
  </si>
  <si>
    <t>下节点号</t>
    <phoneticPr fontId="53" type="noConversion"/>
  </si>
  <si>
    <t>长沙</t>
    <phoneticPr fontId="53" type="noConversion"/>
  </si>
  <si>
    <t>到上站距离</t>
    <phoneticPr fontId="53" type="noConversion"/>
  </si>
  <si>
    <t>株洲</t>
    <phoneticPr fontId="53" type="noConversion"/>
  </si>
  <si>
    <t>湘潭</t>
    <phoneticPr fontId="53" type="noConversion"/>
  </si>
  <si>
    <t>衡阳</t>
    <phoneticPr fontId="53" type="noConversion"/>
  </si>
  <si>
    <t>耒阳</t>
    <phoneticPr fontId="53" type="noConversion"/>
  </si>
  <si>
    <t>郴州</t>
    <phoneticPr fontId="53" type="noConversion"/>
  </si>
  <si>
    <t>娄底</t>
    <phoneticPr fontId="53" type="noConversion"/>
  </si>
  <si>
    <t>5,7,10</t>
    <phoneticPr fontId="53" type="noConversion"/>
  </si>
  <si>
    <t>汽</t>
  </si>
  <si>
    <t>下站</t>
    <phoneticPr fontId="53" type="noConversion"/>
  </si>
  <si>
    <t>株洲</t>
    <phoneticPr fontId="53" type="noConversion"/>
  </si>
  <si>
    <t>郴州</t>
    <phoneticPr fontId="53" type="noConversion"/>
  </si>
  <si>
    <t>初始油头</t>
    <phoneticPr fontId="53" type="noConversion"/>
  </si>
  <si>
    <t>颜色值</t>
    <phoneticPr fontId="53" type="noConversion"/>
  </si>
  <si>
    <t>品名</t>
    <phoneticPr fontId="53" type="noConversion"/>
  </si>
  <si>
    <r>
      <t>9</t>
    </r>
    <r>
      <rPr>
        <sz val="11"/>
        <color theme="1"/>
        <rFont val="宋体"/>
        <family val="3"/>
        <charset val="134"/>
        <scheme val="minor"/>
      </rPr>
      <t>2#</t>
    </r>
    <phoneticPr fontId="53" type="noConversion"/>
  </si>
  <si>
    <r>
      <t>9</t>
    </r>
    <r>
      <rPr>
        <sz val="11"/>
        <color theme="1"/>
        <rFont val="宋体"/>
        <family val="3"/>
        <charset val="134"/>
        <scheme val="minor"/>
      </rPr>
      <t>5#</t>
    </r>
    <phoneticPr fontId="53" type="noConversion"/>
  </si>
  <si>
    <t>车柴</t>
    <phoneticPr fontId="53" type="noConversion"/>
  </si>
  <si>
    <t>密度</t>
    <phoneticPr fontId="53" type="noConversion"/>
  </si>
  <si>
    <t xml:space="preserve"> </t>
    <phoneticPr fontId="53" type="noConversion"/>
  </si>
  <si>
    <t>油品参数</t>
    <phoneticPr fontId="53" type="noConversion"/>
  </si>
  <si>
    <t>油品</t>
    <phoneticPr fontId="4" type="noConversion"/>
  </si>
  <si>
    <t>质量</t>
    <phoneticPr fontId="4" type="noConversion"/>
  </si>
  <si>
    <t>注入顺序</t>
    <phoneticPr fontId="53" type="noConversion"/>
  </si>
  <si>
    <t>油品</t>
    <phoneticPr fontId="53" type="noConversion"/>
  </si>
  <si>
    <t>质量</t>
    <phoneticPr fontId="53" type="noConversion"/>
  </si>
  <si>
    <t>体积</t>
    <phoneticPr fontId="53" type="noConversion"/>
  </si>
  <si>
    <t>普柴</t>
  </si>
  <si>
    <r>
      <t>备注(</t>
    </r>
    <r>
      <rPr>
        <b/>
        <sz val="11"/>
        <color rgb="FFFF0000"/>
        <rFont val="宋体"/>
        <family val="3"/>
        <charset val="134"/>
        <scheme val="minor"/>
      </rPr>
      <t>湘潭站配泵为"西线/南线"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</si>
  <si>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 xml:space="preserve"> </t>
    <phoneticPr fontId="9" type="noConversion"/>
  </si>
  <si>
    <t>备注</t>
    <phoneticPr fontId="9" type="noConversion"/>
  </si>
  <si>
    <t>序号</t>
    <phoneticPr fontId="53" type="noConversion"/>
  </si>
  <si>
    <t xml:space="preserve">前行 </t>
    <phoneticPr fontId="53" type="noConversion"/>
  </si>
  <si>
    <t>后行</t>
    <phoneticPr fontId="53" type="noConversion"/>
  </si>
  <si>
    <t>油头处理区</t>
    <phoneticPr fontId="53" type="noConversion"/>
  </si>
  <si>
    <t>过站行</t>
  </si>
  <si>
    <t>下站</t>
    <phoneticPr fontId="53" type="noConversion"/>
  </si>
  <si>
    <t>距下站</t>
    <phoneticPr fontId="53" type="noConversion"/>
  </si>
  <si>
    <t>6,1,2,4,2,5,3,1,6,4,8,3,3,6,99,</t>
    <phoneticPr fontId="9" type="noConversion"/>
  </si>
  <si>
    <t>5,3,1,5,3,5,3,1,5,3,6,1,2,6,4,9,3,3,7,5,5,3,1,10,55,9,2,1,2,3,</t>
  </si>
  <si>
    <t>汨罗</t>
    <phoneticPr fontId="53" type="noConversion"/>
  </si>
  <si>
    <t>4,3,3,6,98.4307134011678,</t>
    <phoneticPr fontId="9" type="noConversion"/>
  </si>
  <si>
    <t>5,3,3,7,5,5,3,3,7,5,5,3,3,10,55,6,3,1,2,3,</t>
    <phoneticPr fontId="9" type="noConversion"/>
  </si>
  <si>
    <t>6,3,1,3,1,5,3,3,8,6,5,3,3,8,6,7,3,3,10,55,</t>
    <phoneticPr fontId="9" type="noConversion"/>
  </si>
  <si>
    <t>5,3,3,6,-0.191780821917803,</t>
    <phoneticPr fontId="9" type="noConversion"/>
  </si>
  <si>
    <t>2大+2大+/1小+2大</t>
    <phoneticPr fontId="9" type="noConversion"/>
  </si>
  <si>
    <t>湘潭</t>
    <phoneticPr fontId="53" type="noConversion"/>
  </si>
  <si>
    <t>油品</t>
    <phoneticPr fontId="53" type="noConversion"/>
  </si>
  <si>
    <t>长度</t>
    <phoneticPr fontId="53" type="noConversion"/>
  </si>
  <si>
    <t>默认油品</t>
    <phoneticPr fontId="53" type="noConversion"/>
  </si>
  <si>
    <t>普柴</t>
    <phoneticPr fontId="5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</si>
</sst>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_ "/>
    <numFmt numFmtId="177" formatCode="0.00_ "/>
    <numFmt numFmtId="178" formatCode="0.000000_ "/>
    <numFmt numFmtId="179" formatCode="0.00_);[Red]\(0.00\)"/>
    <numFmt numFmtId="180" formatCode="0.0_ "/>
    <numFmt numFmtId="181" formatCode="0.0_);[Red]\(0.0\)"/>
    <numFmt numFmtId="182" formatCode="0_);[Red]\(0\)"/>
    <numFmt numFmtId="183" formatCode="d&quot;日&quot;\ hh:mm"/>
  </numFmts>
  <fonts count="58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b/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4"/>
      <color indexed="10"/>
      <name val="宋体"/>
      <family val="3"/>
      <charset val="134"/>
    </font>
    <font>
      <b/>
      <sz val="12"/>
      <color indexed="9"/>
      <name val="宋体"/>
      <family val="3"/>
      <charset val="134"/>
    </font>
    <font>
      <b/>
      <sz val="16"/>
      <name val="宋体"/>
      <family val="3"/>
      <charset val="134"/>
    </font>
    <font>
      <b/>
      <sz val="12"/>
      <name val="Helv"/>
      <family val="2"/>
    </font>
    <font>
      <sz val="11"/>
      <color theme="6" tint="0.39997558519241921"/>
      <name val="宋体"/>
      <family val="3"/>
      <charset val="134"/>
      <scheme val="minor"/>
    </font>
    <font>
      <sz val="11"/>
      <color rgb="FF7030A0"/>
      <name val="宋体"/>
      <family val="3"/>
      <charset val="134"/>
      <scheme val="minor"/>
    </font>
    <font>
      <sz val="11"/>
      <color rgb="FFFFC000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vertAlign val="superscript"/>
      <sz val="12"/>
      <color rgb="FF000000"/>
      <name val="宋体"/>
      <family val="3"/>
      <charset val="134"/>
    </font>
    <font>
      <sz val="2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11"/>
      <color theme="1"/>
      <name val="仿宋_GB2312"/>
      <family val="3"/>
      <charset val="134"/>
    </font>
    <font>
      <b/>
      <sz val="18"/>
      <color rgb="FF000000"/>
      <name val="黑体"/>
      <family val="3"/>
      <charset val="134"/>
    </font>
    <font>
      <sz val="11"/>
      <name val="宋体"/>
      <family val="2"/>
      <charset val="134"/>
      <scheme val="minor"/>
    </font>
    <font>
      <b/>
      <sz val="22"/>
      <color rgb="FF000000"/>
      <name val="黑体"/>
      <family val="3"/>
      <charset val="134"/>
    </font>
    <font>
      <b/>
      <sz val="14"/>
      <color rgb="FF000000"/>
      <name val="黑体"/>
      <family val="3"/>
      <charset val="134"/>
    </font>
    <font>
      <b/>
      <sz val="18"/>
      <color rgb="FF000000"/>
      <name val="宋体"/>
      <family val="3"/>
      <charset val="134"/>
    </font>
    <font>
      <sz val="18"/>
      <color rgb="FF000000"/>
      <name val="Times New Roman"/>
      <family val="1"/>
    </font>
    <font>
      <sz val="18"/>
      <color rgb="FF000000"/>
      <name val="宋体"/>
      <family val="3"/>
      <charset val="134"/>
    </font>
    <font>
      <sz val="16"/>
      <color rgb="FF000000"/>
      <name val="Times New Roman"/>
      <family val="1"/>
    </font>
    <font>
      <sz val="16"/>
      <color rgb="FF000000"/>
      <name val="宋体"/>
      <family val="3"/>
      <charset val="134"/>
    </font>
    <font>
      <sz val="15"/>
      <color rgb="FF000000"/>
      <name val="Times New Roman"/>
      <family val="1"/>
    </font>
    <font>
      <sz val="14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6"/>
      <color theme="1"/>
      <name val="仿宋_GB2312"/>
      <family val="3"/>
      <charset val="134"/>
    </font>
    <font>
      <b/>
      <sz val="24"/>
      <color theme="1"/>
      <name val="仿宋_GB2312"/>
      <family val="3"/>
      <charset val="134"/>
    </font>
    <font>
      <sz val="9"/>
      <name val="宋体"/>
      <family val="3"/>
      <charset val="134"/>
      <scheme val="minor"/>
    </font>
    <font>
      <b/>
      <sz val="18"/>
      <color theme="1"/>
      <name val="仿宋_GB2312"/>
      <family val="3"/>
      <charset val="134"/>
    </font>
    <font>
      <sz val="16"/>
      <color theme="1"/>
      <name val="仿宋_GB2312"/>
      <family val="3"/>
      <charset val="134"/>
    </font>
    <font>
      <sz val="14"/>
      <color theme="1"/>
      <name val="仿宋_GB2312"/>
      <family val="3"/>
      <charset val="134"/>
    </font>
    <font>
      <b/>
      <sz val="14"/>
      <color theme="1"/>
      <name val="仿宋_GB2312"/>
      <family val="3"/>
      <charset val="134"/>
    </font>
    <font>
      <b/>
      <sz val="16"/>
      <color theme="1"/>
      <name val="Arial"/>
      <family val="2"/>
    </font>
    <font>
      <b/>
      <sz val="16"/>
      <color theme="1"/>
      <name val="宋体"/>
      <family val="3"/>
      <charset val="134"/>
    </font>
    <font>
      <sz val="16"/>
      <color theme="1"/>
      <name val="Arial"/>
      <family val="2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6"/>
      <color indexed="8"/>
      <name val="宋体"/>
      <family val="3"/>
      <charset val="134"/>
      <scheme val="minor"/>
    </font>
    <font>
      <b/>
      <sz val="24"/>
      <color rgb="FF000000"/>
      <name val="黑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7" fillId="0" borderId="0"/>
    <xf numFmtId="0" fontId="3" fillId="0" borderId="0">
      <alignment vertical="center"/>
    </xf>
    <xf numFmtId="0" fontId="6" fillId="0" borderId="0"/>
    <xf numFmtId="0" fontId="2" fillId="0" borderId="0">
      <alignment vertical="center"/>
    </xf>
    <xf numFmtId="0" fontId="1" fillId="0" borderId="0">
      <alignment vertical="center"/>
    </xf>
  </cellStyleXfs>
  <cellXfs count="487">
    <xf numFmtId="0" fontId="0" fillId="0" borderId="0" xfId="0"/>
    <xf numFmtId="0" fontId="8" fillId="2" borderId="1" xfId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2" borderId="7" xfId="1" applyFont="1" applyFill="1" applyBorder="1" applyAlignment="1">
      <alignment horizontal="center" vertical="center" wrapText="1"/>
    </xf>
    <xf numFmtId="0" fontId="8" fillId="0" borderId="3" xfId="1" applyFont="1" applyFill="1" applyBorder="1" applyAlignment="1">
      <alignment horizontal="center" vertical="center" wrapText="1"/>
    </xf>
    <xf numFmtId="0" fontId="8" fillId="2" borderId="2" xfId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7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center"/>
    </xf>
    <xf numFmtId="176" fontId="8" fillId="0" borderId="1" xfId="1" applyNumberFormat="1" applyFont="1" applyBorder="1" applyAlignment="1">
      <alignment horizontal="center" vertical="center"/>
    </xf>
    <xf numFmtId="177" fontId="8" fillId="0" borderId="1" xfId="1" applyNumberFormat="1" applyFont="1" applyFill="1" applyBorder="1" applyAlignment="1">
      <alignment horizontal="center" vertical="center"/>
    </xf>
    <xf numFmtId="176" fontId="8" fillId="0" borderId="1" xfId="1" applyNumberFormat="1" applyFont="1" applyFill="1" applyBorder="1" applyAlignment="1">
      <alignment horizontal="center" vertical="center"/>
    </xf>
    <xf numFmtId="178" fontId="8" fillId="0" borderId="1" xfId="1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177" fontId="8" fillId="0" borderId="0" xfId="1" applyNumberFormat="1" applyFont="1" applyFill="1" applyBorder="1" applyAlignment="1">
      <alignment horizontal="center" vertical="center"/>
    </xf>
    <xf numFmtId="176" fontId="8" fillId="0" borderId="0" xfId="1" applyNumberFormat="1" applyFont="1" applyFill="1" applyBorder="1" applyAlignment="1">
      <alignment horizontal="center" vertical="center"/>
    </xf>
    <xf numFmtId="178" fontId="8" fillId="0" borderId="0" xfId="1" applyNumberFormat="1" applyFont="1" applyBorder="1" applyAlignment="1">
      <alignment horizontal="center" vertical="center"/>
    </xf>
    <xf numFmtId="177" fontId="8" fillId="0" borderId="0" xfId="1" applyNumberFormat="1" applyFont="1" applyBorder="1" applyAlignment="1">
      <alignment horizontal="center" vertical="center"/>
    </xf>
    <xf numFmtId="0" fontId="8" fillId="0" borderId="15" xfId="1" applyFont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178" fontId="8" fillId="0" borderId="0" xfId="1" applyNumberFormat="1" applyFont="1" applyFill="1" applyBorder="1" applyAlignment="1">
      <alignment horizontal="center" vertical="center"/>
    </xf>
    <xf numFmtId="0" fontId="0" fillId="8" borderId="0" xfId="0" applyFill="1" applyBorder="1"/>
    <xf numFmtId="0" fontId="6" fillId="0" borderId="0" xfId="0" applyFont="1"/>
    <xf numFmtId="0" fontId="17" fillId="7" borderId="0" xfId="0" applyFont="1" applyFill="1" applyBorder="1"/>
    <xf numFmtId="0" fontId="18" fillId="9" borderId="0" xfId="0" applyFont="1" applyFill="1" applyBorder="1"/>
    <xf numFmtId="0" fontId="16" fillId="10" borderId="0" xfId="0" applyFont="1" applyFill="1" applyBorder="1"/>
    <xf numFmtId="0" fontId="8" fillId="0" borderId="4" xfId="1" applyFont="1" applyBorder="1" applyAlignment="1">
      <alignment horizontal="center" vertical="center" wrapText="1"/>
    </xf>
    <xf numFmtId="177" fontId="8" fillId="12" borderId="1" xfId="1" applyNumberFormat="1" applyFont="1" applyFill="1" applyBorder="1" applyAlignment="1">
      <alignment horizontal="center" vertical="center"/>
    </xf>
    <xf numFmtId="179" fontId="8" fillId="4" borderId="1" xfId="1" applyNumberFormat="1" applyFont="1" applyFill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7" fillId="0" borderId="0" xfId="1" applyAlignment="1">
      <alignment horizontal="center" vertical="center"/>
    </xf>
    <xf numFmtId="176" fontId="3" fillId="0" borderId="0" xfId="2" applyNumberFormat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179" fontId="8" fillId="0" borderId="0" xfId="1" applyNumberFormat="1" applyFont="1" applyFill="1" applyBorder="1" applyAlignment="1">
      <alignment horizontal="center" vertical="center"/>
    </xf>
    <xf numFmtId="177" fontId="7" fillId="0" borderId="0" xfId="1" applyNumberFormat="1" applyBorder="1" applyAlignment="1">
      <alignment horizontal="center" vertical="center"/>
    </xf>
    <xf numFmtId="176" fontId="7" fillId="0" borderId="0" xfId="1" applyNumberFormat="1" applyFont="1" applyAlignment="1">
      <alignment horizontal="center" vertical="center"/>
    </xf>
    <xf numFmtId="0" fontId="0" fillId="0" borderId="0" xfId="0" applyAlignment="1">
      <alignment vertical="center"/>
    </xf>
    <xf numFmtId="181" fontId="7" fillId="6" borderId="1" xfId="1" applyNumberFormat="1" applyFill="1" applyBorder="1" applyAlignment="1">
      <alignment horizontal="center" vertical="center"/>
    </xf>
    <xf numFmtId="181" fontId="8" fillId="0" borderId="0" xfId="1" applyNumberFormat="1" applyFont="1" applyFill="1" applyBorder="1" applyAlignment="1">
      <alignment horizontal="center" vertical="center"/>
    </xf>
    <xf numFmtId="181" fontId="8" fillId="0" borderId="0" xfId="1" applyNumberFormat="1" applyFont="1" applyBorder="1" applyAlignment="1">
      <alignment horizontal="center" vertical="center"/>
    </xf>
    <xf numFmtId="182" fontId="19" fillId="0" borderId="5" xfId="0" applyNumberFormat="1" applyFont="1" applyBorder="1" applyAlignment="1">
      <alignment horizontal="center" vertical="center" wrapText="1"/>
    </xf>
    <xf numFmtId="0" fontId="8" fillId="5" borderId="1" xfId="1" applyFont="1" applyFill="1" applyBorder="1" applyAlignment="1">
      <alignment horizontal="center" vertical="center"/>
    </xf>
    <xf numFmtId="176" fontId="8" fillId="5" borderId="1" xfId="1" applyNumberFormat="1" applyFont="1" applyFill="1" applyBorder="1" applyAlignment="1">
      <alignment horizontal="center" vertical="center"/>
    </xf>
    <xf numFmtId="0" fontId="8" fillId="5" borderId="1" xfId="1" applyNumberFormat="1" applyFont="1" applyFill="1" applyBorder="1" applyAlignment="1">
      <alignment horizontal="center" vertical="center"/>
    </xf>
    <xf numFmtId="181" fontId="7" fillId="0" borderId="1" xfId="1" applyNumberFormat="1" applyFill="1" applyBorder="1" applyAlignment="1">
      <alignment horizontal="center" vertical="center"/>
    </xf>
    <xf numFmtId="176" fontId="8" fillId="0" borderId="4" xfId="1" applyNumberFormat="1" applyFont="1" applyFill="1" applyBorder="1" applyAlignment="1">
      <alignment horizontal="center" vertical="center"/>
    </xf>
    <xf numFmtId="176" fontId="8" fillId="3" borderId="1" xfId="1" applyNumberFormat="1" applyFont="1" applyFill="1" applyBorder="1" applyAlignment="1">
      <alignment horizontal="center" vertical="center"/>
    </xf>
    <xf numFmtId="177" fontId="12" fillId="0" borderId="1" xfId="1" applyNumberFormat="1" applyFont="1" applyFill="1" applyBorder="1" applyAlignment="1">
      <alignment horizontal="center" vertical="center"/>
    </xf>
    <xf numFmtId="0" fontId="13" fillId="0" borderId="1" xfId="1" applyFont="1" applyFill="1" applyBorder="1" applyAlignment="1">
      <alignment horizontal="center" vertical="center"/>
    </xf>
    <xf numFmtId="181" fontId="13" fillId="0" borderId="1" xfId="1" applyNumberFormat="1" applyFont="1" applyFill="1" applyBorder="1" applyAlignment="1">
      <alignment horizontal="center" vertical="center"/>
    </xf>
    <xf numFmtId="182" fontId="6" fillId="0" borderId="0" xfId="3" applyNumberFormat="1" applyAlignment="1">
      <alignment vertical="center"/>
    </xf>
    <xf numFmtId="182" fontId="6" fillId="0" borderId="0" xfId="3" applyNumberFormat="1" applyBorder="1" applyAlignment="1">
      <alignment vertical="center"/>
    </xf>
    <xf numFmtId="182" fontId="6" fillId="0" borderId="1" xfId="3" applyNumberFormat="1" applyFont="1" applyBorder="1" applyAlignment="1">
      <alignment vertical="center"/>
    </xf>
    <xf numFmtId="0" fontId="6" fillId="0" borderId="0" xfId="3"/>
    <xf numFmtId="0" fontId="7" fillId="0" borderId="1" xfId="1" applyNumberFormat="1" applyFill="1" applyBorder="1" applyAlignment="1">
      <alignment horizontal="center" vertical="center"/>
    </xf>
    <xf numFmtId="17" fontId="8" fillId="0" borderId="0" xfId="1" applyNumberFormat="1" applyFont="1" applyFill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182" fontId="6" fillId="0" borderId="0" xfId="3" applyNumberFormat="1"/>
    <xf numFmtId="0" fontId="28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182" fontId="19" fillId="0" borderId="5" xfId="3" applyNumberFormat="1" applyFont="1" applyBorder="1" applyAlignment="1">
      <alignment horizontal="center" vertical="center" wrapText="1"/>
    </xf>
    <xf numFmtId="0" fontId="25" fillId="0" borderId="0" xfId="3" applyFont="1" applyAlignment="1">
      <alignment horizontal="center" vertical="center"/>
    </xf>
    <xf numFmtId="0" fontId="6" fillId="0" borderId="0" xfId="3" applyAlignment="1">
      <alignment horizontal="center" vertical="center"/>
    </xf>
    <xf numFmtId="181" fontId="6" fillId="0" borderId="0" xfId="3" applyNumberFormat="1" applyAlignment="1">
      <alignment horizontal="center" vertical="center"/>
    </xf>
    <xf numFmtId="0" fontId="26" fillId="0" borderId="0" xfId="3" applyFont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182" fontId="6" fillId="0" borderId="28" xfId="3" applyNumberFormat="1" applyBorder="1" applyAlignment="1">
      <alignment vertical="center"/>
    </xf>
    <xf numFmtId="182" fontId="6" fillId="0" borderId="28" xfId="3" applyNumberFormat="1" applyFill="1" applyBorder="1" applyAlignment="1">
      <alignment vertical="center"/>
    </xf>
    <xf numFmtId="182" fontId="6" fillId="0" borderId="28" xfId="3" applyNumberFormat="1" applyFill="1" applyBorder="1" applyAlignment="1">
      <alignment horizontal="right" vertical="center"/>
    </xf>
    <xf numFmtId="182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182" fontId="6" fillId="0" borderId="27" xfId="3" applyNumberFormat="1" applyFill="1" applyBorder="1" applyAlignment="1">
      <alignment vertical="center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wrapText="1"/>
    </xf>
    <xf numFmtId="182" fontId="6" fillId="0" borderId="39" xfId="3" applyNumberFormat="1" applyBorder="1" applyAlignment="1">
      <alignment vertical="center"/>
    </xf>
    <xf numFmtId="0" fontId="40" fillId="0" borderId="0" xfId="0" applyFont="1" applyAlignment="1">
      <alignment vertical="center"/>
    </xf>
    <xf numFmtId="0" fontId="23" fillId="0" borderId="1" xfId="0" applyFont="1" applyBorder="1" applyAlignment="1">
      <alignment horizontal="center" vertical="center"/>
    </xf>
    <xf numFmtId="182" fontId="23" fillId="0" borderId="1" xfId="0" applyNumberFormat="1" applyFont="1" applyBorder="1" applyAlignment="1">
      <alignment horizontal="center" vertical="center"/>
    </xf>
    <xf numFmtId="182" fontId="23" fillId="13" borderId="1" xfId="0" applyNumberFormat="1" applyFont="1" applyFill="1" applyBorder="1" applyAlignment="1">
      <alignment horizontal="center" vertical="center"/>
    </xf>
    <xf numFmtId="182" fontId="23" fillId="0" borderId="15" xfId="0" applyNumberFormat="1" applyFont="1" applyBorder="1" applyAlignment="1">
      <alignment horizontal="left" vertical="top"/>
    </xf>
    <xf numFmtId="182" fontId="23" fillId="0" borderId="1" xfId="0" applyNumberFormat="1" applyFont="1" applyBorder="1" applyAlignment="1">
      <alignment horizontal="left" vertical="top"/>
    </xf>
    <xf numFmtId="182" fontId="23" fillId="0" borderId="28" xfId="0" applyNumberFormat="1" applyFont="1" applyBorder="1" applyAlignment="1">
      <alignment horizontal="left" vertical="top"/>
    </xf>
    <xf numFmtId="0" fontId="23" fillId="0" borderId="28" xfId="0" applyFont="1" applyBorder="1" applyAlignment="1">
      <alignment horizontal="center" vertical="center"/>
    </xf>
    <xf numFmtId="182" fontId="6" fillId="0" borderId="1" xfId="3" applyNumberFormat="1" applyFont="1" applyFill="1" applyBorder="1" applyAlignment="1">
      <alignment vertical="center"/>
    </xf>
    <xf numFmtId="182" fontId="6" fillId="0" borderId="9" xfId="3" applyNumberFormat="1" applyFont="1" applyBorder="1" applyAlignment="1">
      <alignment vertical="center"/>
    </xf>
    <xf numFmtId="182" fontId="6" fillId="0" borderId="27" xfId="3" applyNumberFormat="1" applyFont="1" applyBorder="1" applyAlignment="1">
      <alignment vertical="center"/>
    </xf>
    <xf numFmtId="182" fontId="6" fillId="0" borderId="46" xfId="3" applyNumberFormat="1" applyBorder="1" applyAlignment="1">
      <alignment vertical="center"/>
    </xf>
    <xf numFmtId="182" fontId="23" fillId="0" borderId="28" xfId="0" applyNumberFormat="1" applyFont="1" applyBorder="1" applyAlignment="1">
      <alignment horizontal="center" vertical="center"/>
    </xf>
    <xf numFmtId="182" fontId="23" fillId="13" borderId="28" xfId="0" applyNumberFormat="1" applyFont="1" applyFill="1" applyBorder="1" applyAlignment="1">
      <alignment horizontal="center" vertical="center"/>
    </xf>
    <xf numFmtId="0" fontId="6" fillId="0" borderId="0" xfId="3" applyBorder="1"/>
    <xf numFmtId="182" fontId="6" fillId="0" borderId="0" xfId="3" applyNumberFormat="1" applyBorder="1" applyAlignment="1">
      <alignment horizontal="right" vertical="center"/>
    </xf>
    <xf numFmtId="179" fontId="6" fillId="0" borderId="0" xfId="3" applyNumberFormat="1" applyBorder="1" applyAlignment="1">
      <alignment vertical="center"/>
    </xf>
    <xf numFmtId="182" fontId="6" fillId="0" borderId="42" xfId="3" applyNumberFormat="1" applyFill="1" applyBorder="1" applyAlignment="1">
      <alignment vertical="center"/>
    </xf>
    <xf numFmtId="0" fontId="43" fillId="0" borderId="0" xfId="4" applyFont="1" applyAlignment="1">
      <alignment vertical="center"/>
    </xf>
    <xf numFmtId="0" fontId="24" fillId="0" borderId="0" xfId="4" applyFont="1">
      <alignment vertical="center"/>
    </xf>
    <xf numFmtId="0" fontId="43" fillId="0" borderId="0" xfId="4" applyFont="1" applyAlignment="1">
      <alignment horizontal="left" vertical="center"/>
    </xf>
    <xf numFmtId="0" fontId="40" fillId="0" borderId="0" xfId="4" applyFont="1" applyAlignment="1">
      <alignment horizontal="left" vertical="center"/>
    </xf>
    <xf numFmtId="0" fontId="44" fillId="0" borderId="0" xfId="4" applyFont="1">
      <alignment vertical="center"/>
    </xf>
    <xf numFmtId="0" fontId="44" fillId="0" borderId="0" xfId="4" applyFont="1" applyAlignment="1">
      <alignment horizontal="right" vertical="center"/>
    </xf>
    <xf numFmtId="0" fontId="44" fillId="0" borderId="0" xfId="4" applyFont="1" applyAlignment="1">
      <alignment horizontal="center" vertical="center"/>
    </xf>
    <xf numFmtId="0" fontId="24" fillId="0" borderId="0" xfId="4" applyFont="1" applyAlignment="1">
      <alignment vertical="center"/>
    </xf>
    <xf numFmtId="0" fontId="24" fillId="0" borderId="0" xfId="4" applyFont="1" applyBorder="1" applyAlignment="1">
      <alignment vertical="center"/>
    </xf>
    <xf numFmtId="0" fontId="24" fillId="0" borderId="0" xfId="4" applyFont="1" applyBorder="1">
      <alignment vertical="center"/>
    </xf>
    <xf numFmtId="0" fontId="40" fillId="0" borderId="0" xfId="4" applyFont="1">
      <alignment vertical="center"/>
    </xf>
    <xf numFmtId="0" fontId="48" fillId="0" borderId="15" xfId="4" applyFont="1" applyBorder="1" applyAlignment="1">
      <alignment horizontal="center" vertical="center"/>
    </xf>
    <xf numFmtId="0" fontId="47" fillId="0" borderId="23" xfId="4" applyFont="1" applyBorder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47" fillId="0" borderId="1" xfId="4" applyFont="1" applyBorder="1" applyAlignment="1">
      <alignment horizontal="center" vertical="center"/>
    </xf>
    <xf numFmtId="0" fontId="49" fillId="13" borderId="1" xfId="4" applyFont="1" applyFill="1" applyBorder="1" applyAlignment="1">
      <alignment horizontal="center" vertical="center"/>
    </xf>
    <xf numFmtId="0" fontId="49" fillId="13" borderId="19" xfId="4" applyFont="1" applyFill="1" applyBorder="1" applyAlignment="1">
      <alignment horizontal="center" vertical="center"/>
    </xf>
    <xf numFmtId="0" fontId="40" fillId="0" borderId="1" xfId="4" applyFont="1" applyBorder="1" applyAlignment="1">
      <alignment horizontal="center" vertical="center"/>
    </xf>
    <xf numFmtId="0" fontId="44" fillId="0" borderId="0" xfId="4" applyFont="1" applyAlignment="1">
      <alignment horizontal="left" vertical="center"/>
    </xf>
    <xf numFmtId="182" fontId="6" fillId="0" borderId="0" xfId="3" applyNumberFormat="1" applyBorder="1" applyAlignment="1"/>
    <xf numFmtId="179" fontId="6" fillId="0" borderId="33" xfId="3" applyNumberFormat="1" applyFill="1" applyBorder="1" applyAlignment="1">
      <alignment vertical="center"/>
    </xf>
    <xf numFmtId="182" fontId="6" fillId="0" borderId="33" xfId="3" applyNumberFormat="1" applyBorder="1" applyAlignment="1">
      <alignment vertical="center"/>
    </xf>
    <xf numFmtId="182" fontId="37" fillId="0" borderId="31" xfId="3" applyNumberFormat="1" applyFont="1" applyBorder="1" applyAlignment="1">
      <alignment vertical="top" wrapText="1"/>
    </xf>
    <xf numFmtId="182" fontId="37" fillId="0" borderId="31" xfId="3" applyNumberFormat="1" applyFont="1" applyFill="1" applyBorder="1" applyAlignment="1">
      <alignment vertical="center" wrapText="1"/>
    </xf>
    <xf numFmtId="182" fontId="6" fillId="0" borderId="1" xfId="3" applyNumberFormat="1" applyFont="1" applyFill="1" applyBorder="1" applyAlignment="1">
      <alignment horizontal="right" vertical="center"/>
    </xf>
    <xf numFmtId="182" fontId="6" fillId="0" borderId="2" xfId="3" applyNumberFormat="1" applyFont="1" applyBorder="1" applyAlignment="1">
      <alignment vertical="center"/>
    </xf>
    <xf numFmtId="0" fontId="6" fillId="0" borderId="40" xfId="0" applyFont="1" applyBorder="1" applyAlignment="1">
      <alignment vertical="top" wrapText="1"/>
    </xf>
    <xf numFmtId="0" fontId="19" fillId="0" borderId="5" xfId="3" applyFont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182" fontId="6" fillId="0" borderId="0" xfId="3" applyNumberFormat="1" applyAlignment="1">
      <alignment horizontal="center" vertical="center"/>
    </xf>
    <xf numFmtId="182" fontId="37" fillId="0" borderId="39" xfId="3" applyNumberFormat="1" applyFont="1" applyBorder="1" applyAlignment="1">
      <alignment vertical="top" wrapText="1"/>
    </xf>
    <xf numFmtId="182" fontId="6" fillId="0" borderId="0" xfId="3" applyNumberFormat="1" applyBorder="1" applyAlignment="1">
      <alignment vertical="center" wrapText="1"/>
    </xf>
    <xf numFmtId="179" fontId="6" fillId="0" borderId="3" xfId="3" applyNumberFormat="1" applyFont="1" applyFill="1" applyBorder="1" applyAlignment="1">
      <alignment vertical="center"/>
    </xf>
    <xf numFmtId="182" fontId="6" fillId="0" borderId="8" xfId="3" applyNumberFormat="1" applyFont="1" applyFill="1" applyBorder="1" applyAlignment="1">
      <alignment vertical="center"/>
    </xf>
    <xf numFmtId="182" fontId="6" fillId="0" borderId="2" xfId="3" applyNumberFormat="1" applyFont="1" applyFill="1" applyBorder="1" applyAlignment="1">
      <alignment vertical="center"/>
    </xf>
    <xf numFmtId="182" fontId="6" fillId="0" borderId="0" xfId="3" applyNumberFormat="1" applyFill="1" applyBorder="1" applyAlignment="1">
      <alignment vertical="center"/>
    </xf>
    <xf numFmtId="182" fontId="6" fillId="0" borderId="0" xfId="3" applyNumberFormat="1" applyFill="1" applyBorder="1" applyAlignment="1">
      <alignment horizontal="right" vertical="center"/>
    </xf>
    <xf numFmtId="179" fontId="6" fillId="0" borderId="0" xfId="3" applyNumberFormat="1" applyFill="1" applyBorder="1" applyAlignment="1">
      <alignment vertical="center"/>
    </xf>
    <xf numFmtId="182" fontId="6" fillId="0" borderId="0" xfId="3" applyNumberFormat="1" applyFill="1" applyBorder="1" applyAlignment="1">
      <alignment vertical="center" wrapText="1"/>
    </xf>
    <xf numFmtId="182" fontId="51" fillId="0" borderId="0" xfId="3" applyNumberFormat="1" applyFont="1" applyFill="1" applyBorder="1" applyAlignment="1">
      <alignment vertical="center"/>
    </xf>
    <xf numFmtId="182" fontId="6" fillId="0" borderId="0" xfId="3" applyNumberFormat="1" applyFill="1" applyBorder="1" applyAlignment="1">
      <alignment horizontal="center" vertical="center"/>
    </xf>
    <xf numFmtId="182" fontId="23" fillId="0" borderId="8" xfId="0" applyNumberFormat="1" applyFont="1" applyBorder="1" applyAlignment="1">
      <alignment horizontal="left" vertical="top"/>
    </xf>
    <xf numFmtId="0" fontId="23" fillId="0" borderId="5" xfId="0" applyFont="1" applyBorder="1" applyAlignment="1">
      <alignment horizontal="center" vertical="center"/>
    </xf>
    <xf numFmtId="182" fontId="23" fillId="13" borderId="5" xfId="0" applyNumberFormat="1" applyFont="1" applyFill="1" applyBorder="1" applyAlignment="1">
      <alignment horizontal="center" vertical="center"/>
    </xf>
    <xf numFmtId="182" fontId="37" fillId="0" borderId="48" xfId="3" applyNumberFormat="1" applyFont="1" applyBorder="1" applyAlignment="1">
      <alignment horizontal="left" vertical="top" wrapText="1"/>
    </xf>
    <xf numFmtId="182" fontId="6" fillId="0" borderId="9" xfId="3" applyNumberFormat="1" applyFont="1" applyFill="1" applyBorder="1" applyAlignment="1">
      <alignment vertical="center"/>
    </xf>
    <xf numFmtId="0" fontId="8" fillId="0" borderId="5" xfId="1" applyFont="1" applyBorder="1" applyAlignment="1">
      <alignment horizontal="center" vertical="center" wrapText="1"/>
    </xf>
    <xf numFmtId="0" fontId="8" fillId="0" borderId="49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15" fillId="14" borderId="28" xfId="1" applyFont="1" applyFill="1" applyBorder="1" applyAlignment="1">
      <alignment horizontal="center" vertical="center" wrapText="1"/>
    </xf>
    <xf numFmtId="0" fontId="8" fillId="14" borderId="28" xfId="1" applyFont="1" applyFill="1" applyBorder="1" applyAlignment="1">
      <alignment horizontal="center" vertical="center"/>
    </xf>
    <xf numFmtId="180" fontId="8" fillId="14" borderId="28" xfId="1" applyNumberFormat="1" applyFont="1" applyFill="1" applyBorder="1" applyAlignment="1">
      <alignment horizontal="center" vertical="center"/>
    </xf>
    <xf numFmtId="177" fontId="8" fillId="14" borderId="28" xfId="1" applyNumberFormat="1" applyFont="1" applyFill="1" applyBorder="1" applyAlignment="1">
      <alignment horizontal="center" vertical="center"/>
    </xf>
    <xf numFmtId="0" fontId="8" fillId="15" borderId="1" xfId="1" applyFont="1" applyFill="1" applyBorder="1" applyAlignment="1">
      <alignment horizontal="center" vertical="center"/>
    </xf>
    <xf numFmtId="0" fontId="8" fillId="15" borderId="28" xfId="1" applyFont="1" applyFill="1" applyBorder="1" applyAlignment="1">
      <alignment horizontal="center" vertical="center"/>
    </xf>
    <xf numFmtId="0" fontId="8" fillId="15" borderId="15" xfId="1" applyFont="1" applyFill="1" applyBorder="1" applyAlignment="1">
      <alignment horizontal="center" vertical="center"/>
    </xf>
    <xf numFmtId="177" fontId="8" fillId="16" borderId="1" xfId="1" applyNumberFormat="1" applyFont="1" applyFill="1" applyBorder="1" applyAlignment="1">
      <alignment horizontal="center" vertical="center"/>
    </xf>
    <xf numFmtId="182" fontId="6" fillId="0" borderId="36" xfId="3" applyNumberFormat="1" applyFont="1" applyFill="1" applyBorder="1" applyAlignment="1">
      <alignment vertical="center"/>
    </xf>
    <xf numFmtId="182" fontId="52" fillId="0" borderId="0" xfId="3" applyNumberFormat="1" applyFont="1" applyBorder="1" applyAlignment="1">
      <alignment vertical="center"/>
    </xf>
    <xf numFmtId="180" fontId="8" fillId="0" borderId="1" xfId="1" applyNumberFormat="1" applyFont="1" applyBorder="1" applyAlignment="1">
      <alignment horizontal="center" vertical="center"/>
    </xf>
    <xf numFmtId="49" fontId="8" fillId="0" borderId="1" xfId="1" applyNumberFormat="1" applyFont="1" applyBorder="1" applyAlignment="1">
      <alignment horizontal="center" vertical="center" wrapText="1"/>
    </xf>
    <xf numFmtId="179" fontId="8" fillId="0" borderId="1" xfId="1" applyNumberFormat="1" applyFont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 wrapText="1"/>
    </xf>
    <xf numFmtId="179" fontId="8" fillId="0" borderId="0" xfId="1" applyNumberFormat="1" applyFont="1" applyBorder="1" applyAlignment="1">
      <alignment horizontal="center" vertical="center"/>
    </xf>
    <xf numFmtId="179" fontId="8" fillId="0" borderId="1" xfId="1" applyNumberFormat="1" applyFont="1" applyFill="1" applyBorder="1" applyAlignment="1">
      <alignment horizontal="center" vertical="center"/>
    </xf>
    <xf numFmtId="182" fontId="37" fillId="0" borderId="48" xfId="3" applyNumberFormat="1" applyFont="1" applyBorder="1" applyAlignment="1">
      <alignment vertical="top" wrapText="1"/>
    </xf>
    <xf numFmtId="182" fontId="37" fillId="0" borderId="45" xfId="3" applyNumberFormat="1" applyFont="1" applyBorder="1" applyAlignment="1">
      <alignment vertical="top" wrapText="1"/>
    </xf>
    <xf numFmtId="0" fontId="0" fillId="0" borderId="0" xfId="0"/>
    <xf numFmtId="0" fontId="6" fillId="0" borderId="0" xfId="3" applyFont="1" applyAlignment="1">
      <alignment horizontal="left" wrapText="1"/>
    </xf>
    <xf numFmtId="182" fontId="5" fillId="0" borderId="31" xfId="3" applyNumberFormat="1" applyFont="1" applyBorder="1" applyAlignment="1">
      <alignment horizontal="left" vertical="top" wrapText="1"/>
    </xf>
    <xf numFmtId="182" fontId="6" fillId="0" borderId="0" xfId="3" applyNumberFormat="1" applyFont="1" applyBorder="1" applyAlignment="1">
      <alignment horizontal="left" vertical="center" wrapText="1"/>
    </xf>
    <xf numFmtId="0" fontId="6" fillId="0" borderId="31" xfId="0" applyFont="1" applyBorder="1" applyAlignment="1">
      <alignment horizontal="left"/>
    </xf>
    <xf numFmtId="182" fontId="6" fillId="0" borderId="15" xfId="3" applyNumberFormat="1" applyFont="1" applyBorder="1" applyAlignment="1">
      <alignment vertical="center"/>
    </xf>
    <xf numFmtId="183" fontId="19" fillId="0" borderId="53" xfId="3" applyNumberFormat="1" applyFont="1" applyBorder="1" applyAlignment="1">
      <alignment horizontal="center" vertical="center" wrapText="1"/>
    </xf>
    <xf numFmtId="183" fontId="19" fillId="0" borderId="47" xfId="3" applyNumberFormat="1" applyFont="1" applyBorder="1" applyAlignment="1">
      <alignment horizontal="center" vertical="center" wrapText="1"/>
    </xf>
    <xf numFmtId="182" fontId="5" fillId="0" borderId="30" xfId="3" applyNumberFormat="1" applyFont="1" applyBorder="1" applyAlignment="1">
      <alignment horizontal="left" vertical="top" wrapText="1"/>
    </xf>
    <xf numFmtId="0" fontId="8" fillId="0" borderId="1" xfId="1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/>
    </xf>
    <xf numFmtId="182" fontId="23" fillId="0" borderId="13" xfId="0" applyNumberFormat="1" applyFont="1" applyBorder="1" applyAlignment="1">
      <alignment vertical="top"/>
    </xf>
    <xf numFmtId="0" fontId="54" fillId="0" borderId="0" xfId="5" applyFont="1" applyAlignment="1">
      <alignment horizontal="center" vertical="center"/>
    </xf>
    <xf numFmtId="0" fontId="1" fillId="0" borderId="0" xfId="5" applyAlignment="1">
      <alignment horizontal="center" vertical="center"/>
    </xf>
    <xf numFmtId="0" fontId="54" fillId="0" borderId="1" xfId="5" applyFont="1" applyBorder="1" applyAlignment="1">
      <alignment horizontal="center" vertical="center"/>
    </xf>
    <xf numFmtId="0" fontId="54" fillId="17" borderId="1" xfId="5" applyFont="1" applyFill="1" applyBorder="1" applyAlignment="1">
      <alignment horizontal="center" vertical="center"/>
    </xf>
    <xf numFmtId="181" fontId="6" fillId="0" borderId="1" xfId="3" applyNumberFormat="1" applyBorder="1"/>
    <xf numFmtId="181" fontId="6" fillId="0" borderId="5" xfId="3" applyNumberFormat="1" applyFont="1" applyFill="1" applyBorder="1"/>
    <xf numFmtId="181" fontId="54" fillId="0" borderId="0" xfId="5" applyNumberFormat="1" applyFont="1" applyAlignment="1">
      <alignment horizontal="center" vertical="center"/>
    </xf>
    <xf numFmtId="181" fontId="1" fillId="0" borderId="0" xfId="5" applyNumberFormat="1" applyAlignment="1">
      <alignment horizontal="center" vertical="center"/>
    </xf>
    <xf numFmtId="177" fontId="14" fillId="0" borderId="0" xfId="1" applyNumberFormat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7" fillId="0" borderId="0" xfId="1" applyFill="1" applyBorder="1" applyAlignment="1">
      <alignment horizontal="center" vertical="center"/>
    </xf>
    <xf numFmtId="0" fontId="8" fillId="0" borderId="13" xfId="1" applyFont="1" applyBorder="1" applyAlignment="1">
      <alignment vertical="center"/>
    </xf>
    <xf numFmtId="176" fontId="7" fillId="0" borderId="0" xfId="1" applyNumberFormat="1" applyFont="1" applyFill="1" applyBorder="1" applyAlignment="1">
      <alignment horizontal="center" vertical="center"/>
    </xf>
    <xf numFmtId="0" fontId="15" fillId="18" borderId="15" xfId="1" applyFont="1" applyFill="1" applyBorder="1" applyAlignment="1">
      <alignment horizontal="center" vertical="center" wrapText="1"/>
    </xf>
    <xf numFmtId="0" fontId="8" fillId="18" borderId="15" xfId="1" applyFont="1" applyFill="1" applyBorder="1" applyAlignment="1">
      <alignment horizontal="center" vertical="center"/>
    </xf>
    <xf numFmtId="177" fontId="8" fillId="18" borderId="15" xfId="1" applyNumberFormat="1" applyFont="1" applyFill="1" applyBorder="1" applyAlignment="1">
      <alignment horizontal="center" vertical="center"/>
    </xf>
    <xf numFmtId="179" fontId="8" fillId="18" borderId="15" xfId="1" applyNumberFormat="1" applyFont="1" applyFill="1" applyBorder="1" applyAlignment="1">
      <alignment horizontal="center" vertical="center"/>
    </xf>
    <xf numFmtId="179" fontId="8" fillId="18" borderId="50" xfId="1" applyNumberFormat="1" applyFont="1" applyFill="1" applyBorder="1" applyAlignment="1">
      <alignment horizontal="center" vertical="center"/>
    </xf>
    <xf numFmtId="0" fontId="15" fillId="18" borderId="1" xfId="1" applyFont="1" applyFill="1" applyBorder="1" applyAlignment="1">
      <alignment horizontal="center" vertical="center" wrapText="1"/>
    </xf>
    <xf numFmtId="0" fontId="8" fillId="18" borderId="1" xfId="1" applyFont="1" applyFill="1" applyBorder="1" applyAlignment="1">
      <alignment horizontal="center" vertical="center"/>
    </xf>
    <xf numFmtId="180" fontId="8" fillId="18" borderId="1" xfId="1" applyNumberFormat="1" applyFont="1" applyFill="1" applyBorder="1" applyAlignment="1">
      <alignment horizontal="center" vertical="center"/>
    </xf>
    <xf numFmtId="177" fontId="8" fillId="18" borderId="1" xfId="1" applyNumberFormat="1" applyFont="1" applyFill="1" applyBorder="1" applyAlignment="1">
      <alignment horizontal="center" vertical="center"/>
    </xf>
    <xf numFmtId="179" fontId="54" fillId="18" borderId="1" xfId="5" applyNumberFormat="1" applyFont="1" applyFill="1" applyBorder="1" applyAlignment="1">
      <alignment horizontal="center" vertical="center"/>
    </xf>
    <xf numFmtId="179" fontId="8" fillId="18" borderId="1" xfId="1" applyNumberFormat="1" applyFont="1" applyFill="1" applyBorder="1" applyAlignment="1">
      <alignment horizontal="center" vertical="center"/>
    </xf>
    <xf numFmtId="0" fontId="15" fillId="18" borderId="5" xfId="1" applyFont="1" applyFill="1" applyBorder="1" applyAlignment="1">
      <alignment horizontal="center" vertical="center" wrapText="1"/>
    </xf>
    <xf numFmtId="0" fontId="8" fillId="18" borderId="5" xfId="1" applyFont="1" applyFill="1" applyBorder="1" applyAlignment="1">
      <alignment horizontal="center" vertical="center"/>
    </xf>
    <xf numFmtId="180" fontId="8" fillId="18" borderId="5" xfId="1" applyNumberFormat="1" applyFont="1" applyFill="1" applyBorder="1" applyAlignment="1">
      <alignment horizontal="center" vertical="center"/>
    </xf>
    <xf numFmtId="0" fontId="8" fillId="15" borderId="5" xfId="1" applyFont="1" applyFill="1" applyBorder="1" applyAlignment="1">
      <alignment horizontal="center" vertical="center"/>
    </xf>
    <xf numFmtId="177" fontId="8" fillId="18" borderId="5" xfId="1" applyNumberFormat="1" applyFont="1" applyFill="1" applyBorder="1" applyAlignment="1">
      <alignment horizontal="center" vertical="center"/>
    </xf>
    <xf numFmtId="179" fontId="54" fillId="18" borderId="5" xfId="5" applyNumberFormat="1" applyFont="1" applyFill="1" applyBorder="1" applyAlignment="1">
      <alignment horizontal="center" vertical="center"/>
    </xf>
    <xf numFmtId="179" fontId="8" fillId="18" borderId="5" xfId="1" applyNumberFormat="1" applyFont="1" applyFill="1" applyBorder="1" applyAlignment="1">
      <alignment horizontal="center" vertical="center"/>
    </xf>
    <xf numFmtId="0" fontId="15" fillId="19" borderId="15" xfId="1" applyFont="1" applyFill="1" applyBorder="1" applyAlignment="1">
      <alignment horizontal="center" vertical="center" wrapText="1"/>
    </xf>
    <xf numFmtId="0" fontId="8" fillId="19" borderId="15" xfId="1" applyFont="1" applyFill="1" applyBorder="1" applyAlignment="1">
      <alignment horizontal="center" vertical="center"/>
    </xf>
    <xf numFmtId="180" fontId="8" fillId="19" borderId="15" xfId="1" applyNumberFormat="1" applyFont="1" applyFill="1" applyBorder="1" applyAlignment="1">
      <alignment horizontal="center" vertical="center"/>
    </xf>
    <xf numFmtId="177" fontId="8" fillId="19" borderId="15" xfId="1" applyNumberFormat="1" applyFont="1" applyFill="1" applyBorder="1" applyAlignment="1">
      <alignment horizontal="center" vertical="center"/>
    </xf>
    <xf numFmtId="179" fontId="8" fillId="19" borderId="15" xfId="1" applyNumberFormat="1" applyFont="1" applyFill="1" applyBorder="1" applyAlignment="1">
      <alignment horizontal="center" vertical="center"/>
    </xf>
    <xf numFmtId="0" fontId="15" fillId="19" borderId="28" xfId="1" applyFont="1" applyFill="1" applyBorder="1" applyAlignment="1">
      <alignment horizontal="center" vertical="center" wrapText="1"/>
    </xf>
    <xf numFmtId="0" fontId="8" fillId="19" borderId="28" xfId="1" applyFont="1" applyFill="1" applyBorder="1" applyAlignment="1">
      <alignment horizontal="center" vertical="center"/>
    </xf>
    <xf numFmtId="180" fontId="8" fillId="19" borderId="28" xfId="1" applyNumberFormat="1" applyFont="1" applyFill="1" applyBorder="1" applyAlignment="1">
      <alignment horizontal="center" vertical="center"/>
    </xf>
    <xf numFmtId="177" fontId="8" fillId="19" borderId="28" xfId="1" applyNumberFormat="1" applyFont="1" applyFill="1" applyBorder="1" applyAlignment="1">
      <alignment horizontal="center" vertical="center"/>
    </xf>
    <xf numFmtId="179" fontId="54" fillId="19" borderId="26" xfId="5" applyNumberFormat="1" applyFont="1" applyFill="1" applyBorder="1" applyAlignment="1">
      <alignment horizontal="center" vertical="center"/>
    </xf>
    <xf numFmtId="179" fontId="8" fillId="19" borderId="28" xfId="1" applyNumberFormat="1" applyFont="1" applyFill="1" applyBorder="1" applyAlignment="1">
      <alignment horizontal="center" vertical="center"/>
    </xf>
    <xf numFmtId="180" fontId="8" fillId="18" borderId="15" xfId="1" applyNumberFormat="1" applyFont="1" applyFill="1" applyBorder="1" applyAlignment="1">
      <alignment horizontal="center" vertical="center"/>
    </xf>
    <xf numFmtId="0" fontId="1" fillId="0" borderId="0" xfId="5" applyFill="1" applyBorder="1" applyAlignment="1">
      <alignment horizontal="center" vertical="center"/>
    </xf>
    <xf numFmtId="0" fontId="15" fillId="18" borderId="28" xfId="1" applyFont="1" applyFill="1" applyBorder="1" applyAlignment="1">
      <alignment horizontal="center" vertical="center" wrapText="1"/>
    </xf>
    <xf numFmtId="0" fontId="8" fillId="18" borderId="28" xfId="1" applyFont="1" applyFill="1" applyBorder="1" applyAlignment="1">
      <alignment horizontal="center" vertical="center"/>
    </xf>
    <xf numFmtId="180" fontId="8" fillId="18" borderId="28" xfId="1" applyNumberFormat="1" applyFont="1" applyFill="1" applyBorder="1" applyAlignment="1">
      <alignment horizontal="center" vertical="center"/>
    </xf>
    <xf numFmtId="177" fontId="8" fillId="18" borderId="28" xfId="1" applyNumberFormat="1" applyFont="1" applyFill="1" applyBorder="1" applyAlignment="1">
      <alignment horizontal="center" vertical="center"/>
    </xf>
    <xf numFmtId="179" fontId="54" fillId="18" borderId="28" xfId="5" applyNumberFormat="1" applyFont="1" applyFill="1" applyBorder="1" applyAlignment="1">
      <alignment horizontal="center" vertical="center"/>
    </xf>
    <xf numFmtId="179" fontId="8" fillId="18" borderId="28" xfId="1" applyNumberFormat="1" applyFont="1" applyFill="1" applyBorder="1" applyAlignment="1">
      <alignment horizontal="center" vertical="center"/>
    </xf>
    <xf numFmtId="179" fontId="54" fillId="19" borderId="28" xfId="5" applyNumberFormat="1" applyFont="1" applyFill="1" applyBorder="1" applyAlignment="1">
      <alignment horizontal="center" vertical="center"/>
    </xf>
    <xf numFmtId="0" fontId="15" fillId="14" borderId="8" xfId="1" applyFont="1" applyFill="1" applyBorder="1" applyAlignment="1">
      <alignment horizontal="center" vertical="center" wrapText="1"/>
    </xf>
    <xf numFmtId="0" fontId="8" fillId="14" borderId="8" xfId="1" applyFont="1" applyFill="1" applyBorder="1" applyAlignment="1">
      <alignment horizontal="center" vertical="center"/>
    </xf>
    <xf numFmtId="180" fontId="8" fillId="14" borderId="8" xfId="1" applyNumberFormat="1" applyFont="1" applyFill="1" applyBorder="1" applyAlignment="1">
      <alignment horizontal="center" vertical="center"/>
    </xf>
    <xf numFmtId="0" fontId="8" fillId="15" borderId="8" xfId="1" applyFont="1" applyFill="1" applyBorder="1" applyAlignment="1">
      <alignment horizontal="center" vertical="center"/>
    </xf>
    <xf numFmtId="177" fontId="8" fillId="14" borderId="8" xfId="1" applyNumberFormat="1" applyFont="1" applyFill="1" applyBorder="1" applyAlignment="1">
      <alignment horizontal="center" vertical="center"/>
    </xf>
    <xf numFmtId="179" fontId="8" fillId="18" borderId="8" xfId="1" applyNumberFormat="1" applyFont="1" applyFill="1" applyBorder="1" applyAlignment="1">
      <alignment horizontal="center" vertical="center"/>
    </xf>
    <xf numFmtId="177" fontId="8" fillId="18" borderId="8" xfId="1" applyNumberFormat="1" applyFont="1" applyFill="1" applyBorder="1" applyAlignment="1">
      <alignment horizontal="center" vertical="center"/>
    </xf>
    <xf numFmtId="177" fontId="8" fillId="12" borderId="2" xfId="1" applyNumberFormat="1" applyFont="1" applyFill="1" applyBorder="1" applyAlignment="1">
      <alignment horizontal="center" vertical="center"/>
    </xf>
    <xf numFmtId="177" fontId="8" fillId="0" borderId="4" xfId="1" applyNumberFormat="1" applyFont="1" applyFill="1" applyBorder="1" applyAlignment="1">
      <alignment horizontal="center" vertical="center"/>
    </xf>
    <xf numFmtId="177" fontId="8" fillId="16" borderId="5" xfId="1" applyNumberFormat="1" applyFont="1" applyFill="1" applyBorder="1" applyAlignment="1">
      <alignment horizontal="center" vertical="center"/>
    </xf>
    <xf numFmtId="177" fontId="8" fillId="16" borderId="8" xfId="1" applyNumberFormat="1" applyFont="1" applyFill="1" applyBorder="1" applyAlignment="1">
      <alignment horizontal="center" vertical="center"/>
    </xf>
    <xf numFmtId="177" fontId="8" fillId="16" borderId="40" xfId="1" applyNumberFormat="1" applyFont="1" applyFill="1" applyBorder="1" applyAlignment="1">
      <alignment horizontal="center" vertical="center"/>
    </xf>
    <xf numFmtId="177" fontId="8" fillId="16" borderId="6" xfId="1" applyNumberFormat="1" applyFont="1" applyFill="1" applyBorder="1" applyAlignment="1">
      <alignment horizontal="center" vertical="center"/>
    </xf>
    <xf numFmtId="182" fontId="6" fillId="9" borderId="1" xfId="3" applyNumberFormat="1" applyFont="1" applyFill="1" applyBorder="1" applyAlignment="1">
      <alignment vertical="center"/>
    </xf>
    <xf numFmtId="0" fontId="0" fillId="0" borderId="0" xfId="0"/>
    <xf numFmtId="182" fontId="55" fillId="0" borderId="1" xfId="0" applyNumberFormat="1" applyFont="1" applyBorder="1" applyAlignment="1">
      <alignment horizontal="left" vertical="top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0" borderId="0" xfId="0" applyFont="1"/>
    <xf numFmtId="0" fontId="23" fillId="7" borderId="0" xfId="0" applyFont="1" applyFill="1" applyBorder="1" applyAlignment="1">
      <alignment horizontal="center" vertical="center"/>
    </xf>
    <xf numFmtId="0" fontId="23" fillId="8" borderId="0" xfId="0" applyFont="1" applyFill="1" applyBorder="1" applyAlignment="1">
      <alignment horizontal="left" vertical="top"/>
    </xf>
    <xf numFmtId="0" fontId="23" fillId="9" borderId="0" xfId="0" applyFont="1" applyFill="1" applyBorder="1" applyAlignment="1">
      <alignment horizontal="left" vertical="top"/>
    </xf>
    <xf numFmtId="0" fontId="23" fillId="10" borderId="0" xfId="0" applyFont="1" applyFill="1" applyBorder="1" applyAlignment="1">
      <alignment horizontal="left" vertical="top"/>
    </xf>
    <xf numFmtId="0" fontId="23" fillId="11" borderId="0" xfId="0" applyFont="1" applyFill="1" applyBorder="1" applyAlignment="1">
      <alignment horizontal="left" vertical="top"/>
    </xf>
    <xf numFmtId="0" fontId="23" fillId="0" borderId="24" xfId="0" applyFont="1" applyBorder="1" applyAlignment="1">
      <alignment vertical="top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182" fontId="44" fillId="0" borderId="0" xfId="0" applyNumberFormat="1" applyFont="1" applyAlignment="1">
      <alignment vertical="center"/>
    </xf>
    <xf numFmtId="0" fontId="23" fillId="0" borderId="44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182" fontId="23" fillId="0" borderId="0" xfId="0" applyNumberFormat="1" applyFont="1" applyAlignment="1">
      <alignment horizontal="left" vertical="top"/>
    </xf>
    <xf numFmtId="0" fontId="0" fillId="0" borderId="0" xfId="0"/>
    <xf numFmtId="182" fontId="6" fillId="0" borderId="37" xfId="3" applyNumberFormat="1" applyFont="1" applyFill="1" applyBorder="1" applyAlignment="1">
      <alignment vertical="center"/>
    </xf>
    <xf numFmtId="182" fontId="8" fillId="5" borderId="1" xfId="1" applyNumberFormat="1" applyFont="1" applyFill="1" applyBorder="1" applyAlignment="1">
      <alignment horizontal="center" vertical="center"/>
    </xf>
    <xf numFmtId="182" fontId="6" fillId="8" borderId="0" xfId="3" applyNumberFormat="1" applyFill="1" applyBorder="1" applyAlignment="1">
      <alignment vertical="center"/>
    </xf>
    <xf numFmtId="176" fontId="5" fillId="0" borderId="0" xfId="3" applyNumberFormat="1" applyFont="1" applyFill="1"/>
    <xf numFmtId="0" fontId="21" fillId="0" borderId="0" xfId="3" applyFont="1" applyAlignment="1">
      <alignment horizontal="center" vertical="center"/>
    </xf>
    <xf numFmtId="182" fontId="6" fillId="0" borderId="0" xfId="3" applyNumberFormat="1" applyFill="1" applyBorder="1" applyAlignment="1">
      <alignment horizontal="center" vertical="center"/>
    </xf>
    <xf numFmtId="0" fontId="0" fillId="0" borderId="0" xfId="0"/>
    <xf numFmtId="0" fontId="0" fillId="0" borderId="0" xfId="0"/>
    <xf numFmtId="182" fontId="6" fillId="0" borderId="0" xfId="3" applyNumberFormat="1" applyFont="1" applyBorder="1" applyAlignment="1"/>
    <xf numFmtId="182" fontId="6" fillId="0" borderId="22" xfId="3" applyNumberFormat="1" applyFill="1" applyBorder="1" applyAlignment="1">
      <alignment vertical="center"/>
    </xf>
    <xf numFmtId="182" fontId="6" fillId="0" borderId="15" xfId="3" applyNumberFormat="1" applyFill="1" applyBorder="1" applyAlignment="1">
      <alignment vertical="center"/>
    </xf>
    <xf numFmtId="182" fontId="6" fillId="0" borderId="15" xfId="3" applyNumberFormat="1" applyBorder="1" applyAlignment="1">
      <alignment vertical="center"/>
    </xf>
    <xf numFmtId="182" fontId="6" fillId="9" borderId="9" xfId="3" applyNumberFormat="1" applyFont="1" applyFill="1" applyBorder="1" applyAlignment="1">
      <alignment vertical="center"/>
    </xf>
    <xf numFmtId="182" fontId="6" fillId="0" borderId="28" xfId="3" applyNumberFormat="1" applyFont="1" applyFill="1" applyBorder="1" applyAlignment="1">
      <alignment horizontal="right" vertical="center"/>
    </xf>
    <xf numFmtId="179" fontId="6" fillId="0" borderId="13" xfId="3" applyNumberFormat="1" applyFill="1" applyBorder="1" applyAlignment="1">
      <alignment vertical="center"/>
    </xf>
    <xf numFmtId="179" fontId="6" fillId="0" borderId="2" xfId="3" applyNumberFormat="1" applyFont="1" applyFill="1" applyBorder="1" applyAlignment="1">
      <alignment vertical="center"/>
    </xf>
    <xf numFmtId="0" fontId="6" fillId="0" borderId="0" xfId="3" applyBorder="1" applyAlignment="1"/>
    <xf numFmtId="182" fontId="6" fillId="0" borderId="22" xfId="3" applyNumberFormat="1" applyBorder="1" applyAlignment="1">
      <alignment vertical="center"/>
    </xf>
    <xf numFmtId="182" fontId="6" fillId="0" borderId="15" xfId="3" applyNumberFormat="1" applyFont="1" applyFill="1" applyBorder="1" applyAlignment="1">
      <alignment vertical="center"/>
    </xf>
    <xf numFmtId="182" fontId="6" fillId="0" borderId="13" xfId="3" applyNumberFormat="1" applyBorder="1" applyAlignment="1">
      <alignment vertical="center"/>
    </xf>
    <xf numFmtId="182" fontId="6" fillId="0" borderId="55" xfId="3" applyNumberFormat="1" applyBorder="1" applyAlignment="1">
      <alignment vertical="center"/>
    </xf>
    <xf numFmtId="182" fontId="6" fillId="0" borderId="54" xfId="3" applyNumberFormat="1" applyFont="1" applyBorder="1" applyAlignment="1">
      <alignment horizontal="center" vertical="center" wrapText="1"/>
    </xf>
    <xf numFmtId="0" fontId="0" fillId="0" borderId="0" xfId="0"/>
    <xf numFmtId="0" fontId="19" fillId="0" borderId="5" xfId="0" applyFont="1" applyBorder="1" applyAlignment="1">
      <alignment horizontal="center" vertical="center" wrapText="1"/>
    </xf>
    <xf numFmtId="182" fontId="6" fillId="5" borderId="0" xfId="3" applyNumberFormat="1" applyFill="1" applyBorder="1" applyAlignment="1">
      <alignment vertical="center"/>
    </xf>
    <xf numFmtId="182" fontId="6" fillId="20" borderId="0" xfId="3" applyNumberFormat="1" applyFill="1" applyBorder="1" applyAlignment="1">
      <alignment vertical="center"/>
    </xf>
    <xf numFmtId="182" fontId="6" fillId="7" borderId="0" xfId="3" applyNumberFormat="1" applyFill="1" applyBorder="1" applyAlignment="1">
      <alignment vertical="center"/>
    </xf>
    <xf numFmtId="0" fontId="6" fillId="0" borderId="31" xfId="0" applyFont="1" applyBorder="1" applyAlignment="1">
      <alignment horizontal="left" wrapText="1"/>
    </xf>
    <xf numFmtId="0" fontId="0" fillId="0" borderId="0" xfId="0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182" fontId="6" fillId="5" borderId="44" xfId="3" applyNumberFormat="1" applyFill="1" applyBorder="1" applyAlignment="1">
      <alignment vertical="center"/>
    </xf>
    <xf numFmtId="182" fontId="6" fillId="5" borderId="56" xfId="3" applyNumberFormat="1" applyFill="1" applyBorder="1" applyAlignment="1">
      <alignment vertical="center"/>
    </xf>
    <xf numFmtId="182" fontId="6" fillId="5" borderId="26" xfId="3" applyNumberFormat="1" applyFill="1" applyBorder="1" applyAlignment="1">
      <alignment vertical="center"/>
    </xf>
    <xf numFmtId="182" fontId="6" fillId="5" borderId="58" xfId="3" applyNumberFormat="1" applyFill="1" applyBorder="1" applyAlignment="1">
      <alignment vertical="center"/>
    </xf>
    <xf numFmtId="0" fontId="0" fillId="0" borderId="0" xfId="0"/>
    <xf numFmtId="177" fontId="8" fillId="16" borderId="5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82" fontId="6" fillId="0" borderId="0" xfId="3" applyNumberFormat="1" applyFill="1" applyBorder="1" applyAlignment="1"/>
    <xf numFmtId="182" fontId="52" fillId="0" borderId="0" xfId="3" applyNumberFormat="1" applyFont="1" applyFill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" fillId="0" borderId="0" xfId="3" applyNumberFormat="1" applyFill="1" applyBorder="1" applyAlignment="1">
      <alignment vertical="center"/>
    </xf>
    <xf numFmtId="0" fontId="6" fillId="0" borderId="0" xfId="3" applyNumberFormat="1" applyBorder="1" applyAlignment="1">
      <alignment vertical="center"/>
    </xf>
    <xf numFmtId="0" fontId="6" fillId="0" borderId="0" xfId="3" applyNumberFormat="1" applyBorder="1" applyAlignment="1">
      <alignment horizontal="right" vertical="center"/>
    </xf>
    <xf numFmtId="0" fontId="6" fillId="5" borderId="43" xfId="3" applyNumberFormat="1" applyFill="1" applyBorder="1" applyAlignment="1">
      <alignment vertical="center"/>
    </xf>
    <xf numFmtId="0" fontId="6" fillId="0" borderId="57" xfId="3" applyNumberFormat="1" applyFill="1" applyBorder="1" applyAlignment="1">
      <alignment vertical="center"/>
    </xf>
    <xf numFmtId="1" fontId="6" fillId="0" borderId="0" xfId="3" applyNumberFormat="1" applyBorder="1" applyAlignment="1">
      <alignment horizontal="right" vertical="center"/>
    </xf>
    <xf numFmtId="1" fontId="6" fillId="0" borderId="0" xfId="3" applyNumberFormat="1" applyFill="1" applyBorder="1" applyAlignment="1">
      <alignment vertical="center"/>
    </xf>
    <xf numFmtId="0" fontId="0" fillId="0" borderId="0" xfId="0"/>
    <xf numFmtId="0" fontId="47" fillId="0" borderId="15" xfId="4" applyFont="1" applyBorder="1" applyAlignment="1">
      <alignment horizontal="center" vertical="center"/>
    </xf>
    <xf numFmtId="0" fontId="47" fillId="0" borderId="9" xfId="4" applyFont="1" applyBorder="1" applyAlignment="1">
      <alignment horizontal="center" vertical="center"/>
    </xf>
    <xf numFmtId="0" fontId="47" fillId="0" borderId="19" xfId="4" applyFont="1" applyBorder="1" applyAlignment="1">
      <alignment horizontal="center" vertical="center"/>
    </xf>
    <xf numFmtId="0" fontId="0" fillId="0" borderId="0" xfId="0"/>
    <xf numFmtId="182" fontId="6" fillId="0" borderId="35" xfId="3" applyNumberFormat="1" applyFont="1" applyFill="1" applyBorder="1" applyAlignment="1">
      <alignment vertical="center"/>
    </xf>
    <xf numFmtId="0" fontId="0" fillId="0" borderId="0" xfId="0"/>
    <xf numFmtId="0" fontId="2" fillId="0" borderId="0" xfId="4">
      <alignment vertical="center"/>
    </xf>
    <xf numFmtId="0" fontId="0" fillId="0" borderId="0" xfId="0"/>
    <xf numFmtId="182" fontId="6" fillId="0" borderId="60" xfId="3" applyNumberFormat="1" applyFont="1" applyFill="1" applyBorder="1" applyAlignment="1">
      <alignment vertical="center"/>
    </xf>
    <xf numFmtId="0" fontId="0" fillId="0" borderId="0" xfId="0"/>
    <xf numFmtId="0" fontId="6" fillId="0" borderId="31" xfId="0" applyFont="1" applyFill="1" applyBorder="1" applyAlignment="1">
      <alignment horizontal="left"/>
    </xf>
    <xf numFmtId="0" fontId="0" fillId="0" borderId="31" xfId="0" applyFont="1" applyBorder="1" applyAlignment="1">
      <alignment horizontal="left" wrapText="1"/>
    </xf>
    <xf numFmtId="182" fontId="5" fillId="0" borderId="1" xfId="3" applyNumberFormat="1" applyFont="1" applyFill="1" applyBorder="1" applyAlignment="1">
      <alignment vertical="center"/>
    </xf>
    <xf numFmtId="0" fontId="0" fillId="0" borderId="0" xfId="0"/>
    <xf numFmtId="0" fontId="44" fillId="0" borderId="0" xfId="4" applyFont="1" applyAlignment="1">
      <alignment horizontal="center" vertical="center"/>
    </xf>
    <xf numFmtId="182" fontId="6" fillId="7" borderId="9" xfId="3" applyNumberFormat="1" applyFont="1" applyFill="1" applyBorder="1" applyAlignment="1">
      <alignment vertical="center"/>
    </xf>
    <xf numFmtId="182" fontId="6" fillId="8" borderId="9" xfId="3" applyNumberFormat="1" applyFont="1" applyFill="1" applyBorder="1" applyAlignment="1">
      <alignment vertical="center"/>
    </xf>
    <xf numFmtId="182" fontId="6" fillId="10" borderId="1" xfId="3" applyNumberFormat="1" applyFont="1" applyFill="1" applyBorder="1" applyAlignment="1">
      <alignment vertical="center"/>
    </xf>
    <xf numFmtId="0" fontId="38" fillId="0" borderId="22" xfId="0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horizontal="center" vertical="center" wrapText="1"/>
    </xf>
    <xf numFmtId="0" fontId="38" fillId="0" borderId="19" xfId="0" applyFont="1" applyFill="1" applyBorder="1" applyAlignment="1">
      <alignment horizontal="center" vertical="center" wrapText="1"/>
    </xf>
    <xf numFmtId="0" fontId="38" fillId="0" borderId="10" xfId="0" applyFont="1" applyFill="1" applyBorder="1" applyAlignment="1">
      <alignment horizontal="center" vertical="center" wrapText="1"/>
    </xf>
    <xf numFmtId="0" fontId="38" fillId="0" borderId="2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38" fillId="0" borderId="15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5" xfId="0" applyFont="1" applyFill="1" applyBorder="1" applyAlignment="1">
      <alignment horizontal="center" vertical="center" wrapText="1"/>
    </xf>
    <xf numFmtId="1" fontId="23" fillId="0" borderId="44" xfId="0" applyNumberFormat="1" applyFont="1" applyBorder="1" applyAlignment="1">
      <alignment vertical="center"/>
    </xf>
    <xf numFmtId="1" fontId="23" fillId="0" borderId="0" xfId="0" applyNumberFormat="1" applyFont="1" applyAlignment="1">
      <alignment horizontal="left" vertical="top"/>
    </xf>
    <xf numFmtId="182" fontId="6" fillId="9" borderId="1" xfId="3" applyNumberFormat="1" applyFont="1" applyFill="1" applyBorder="1" applyAlignment="1">
      <alignment horizontal="right" vertical="center"/>
    </xf>
    <xf numFmtId="0" fontId="0" fillId="0" borderId="0" xfId="0"/>
    <xf numFmtId="182" fontId="6" fillId="7" borderId="1" xfId="3" applyNumberFormat="1" applyFont="1" applyFill="1" applyBorder="1" applyAlignment="1">
      <alignment vertical="center"/>
    </xf>
    <xf numFmtId="182" fontId="6" fillId="8" borderId="1" xfId="3" applyNumberFormat="1" applyFont="1" applyFill="1" applyBorder="1" applyAlignment="1">
      <alignment horizontal="right" vertical="center"/>
    </xf>
    <xf numFmtId="182" fontId="6" fillId="8" borderId="1" xfId="3" applyNumberFormat="1" applyFont="1" applyFill="1" applyBorder="1" applyAlignment="1">
      <alignment vertical="center"/>
    </xf>
    <xf numFmtId="182" fontId="6" fillId="7" borderId="1" xfId="3" applyNumberFormat="1" applyFont="1" applyFill="1" applyBorder="1" applyAlignment="1">
      <alignment horizontal="right" vertical="center"/>
    </xf>
    <xf numFmtId="182" fontId="5" fillId="9" borderId="1" xfId="3" applyNumberFormat="1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/>
    <xf numFmtId="0" fontId="0" fillId="0" borderId="0" xfId="0"/>
    <xf numFmtId="0" fontId="0" fillId="0" borderId="0" xfId="0" applyFill="1"/>
    <xf numFmtId="0" fontId="16" fillId="0" borderId="0" xfId="0" applyFont="1" applyFill="1" applyBorder="1"/>
    <xf numFmtId="0" fontId="5" fillId="0" borderId="0" xfId="0" applyFont="1" applyFill="1" applyBorder="1"/>
    <xf numFmtId="0" fontId="5" fillId="0" borderId="0" xfId="0" applyFont="1"/>
    <xf numFmtId="0" fontId="6" fillId="0" borderId="0" xfId="0" applyFont="1" applyFill="1" applyBorder="1"/>
    <xf numFmtId="0" fontId="21" fillId="0" borderId="0" xfId="3" applyFont="1" applyAlignment="1">
      <alignment horizontal="center" vertical="center"/>
    </xf>
    <xf numFmtId="182" fontId="5" fillId="0" borderId="53" xfId="3" applyNumberFormat="1" applyFont="1" applyBorder="1" applyAlignment="1">
      <alignment horizontal="left" vertical="top" wrapText="1"/>
    </xf>
    <xf numFmtId="0" fontId="6" fillId="0" borderId="53" xfId="0" applyFont="1" applyBorder="1" applyAlignment="1">
      <alignment horizontal="left"/>
    </xf>
    <xf numFmtId="0" fontId="6" fillId="0" borderId="53" xfId="0" applyFont="1" applyBorder="1" applyAlignment="1">
      <alignment horizontal="left" wrapText="1"/>
    </xf>
    <xf numFmtId="0" fontId="0" fillId="0" borderId="53" xfId="0" applyFont="1" applyBorder="1" applyAlignment="1">
      <alignment horizontal="left" wrapText="1"/>
    </xf>
    <xf numFmtId="0" fontId="6" fillId="0" borderId="53" xfId="0" applyFont="1" applyFill="1" applyBorder="1" applyAlignment="1">
      <alignment horizontal="left"/>
    </xf>
    <xf numFmtId="182" fontId="5" fillId="0" borderId="47" xfId="3" applyNumberFormat="1" applyFont="1" applyBorder="1" applyAlignment="1">
      <alignment horizontal="left" vertical="top" wrapText="1"/>
    </xf>
    <xf numFmtId="182" fontId="6" fillId="9" borderId="1" xfId="3" applyNumberFormat="1" applyFill="1" applyBorder="1" applyAlignment="1">
      <alignment vertical="center"/>
    </xf>
    <xf numFmtId="0" fontId="0" fillId="0" borderId="0" xfId="0"/>
    <xf numFmtId="0" fontId="6" fillId="0" borderId="0" xfId="0" applyFont="1" applyAlignment="1"/>
    <xf numFmtId="0" fontId="57" fillId="0" borderId="0" xfId="0" applyFont="1" applyAlignment="1"/>
    <xf numFmtId="0" fontId="57" fillId="0" borderId="0" xfId="0" applyFont="1"/>
    <xf numFmtId="182" fontId="6" fillId="0" borderId="39" xfId="3" applyNumberFormat="1" applyFill="1" applyBorder="1" applyAlignment="1">
      <alignment vertic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9" fillId="0" borderId="23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181" fontId="19" fillId="0" borderId="15" xfId="0" applyNumberFormat="1" applyFont="1" applyBorder="1" applyAlignment="1">
      <alignment horizontal="center" vertical="center" wrapText="1"/>
    </xf>
    <xf numFmtId="181" fontId="19" fillId="0" borderId="5" xfId="0" applyNumberFormat="1" applyFont="1" applyBorder="1" applyAlignment="1">
      <alignment horizontal="center" vertical="center" wrapText="1"/>
    </xf>
    <xf numFmtId="0" fontId="6" fillId="0" borderId="6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21" fillId="0" borderId="0" xfId="3" applyFont="1" applyAlignment="1">
      <alignment horizontal="center" vertical="center"/>
    </xf>
    <xf numFmtId="0" fontId="8" fillId="0" borderId="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6" fillId="0" borderId="4" xfId="3" applyBorder="1"/>
    <xf numFmtId="0" fontId="8" fillId="0" borderId="2" xfId="1" applyFont="1" applyFill="1" applyBorder="1" applyAlignment="1">
      <alignment horizontal="center" vertical="center" wrapText="1"/>
    </xf>
    <xf numFmtId="0" fontId="8" fillId="0" borderId="4" xfId="1" applyFont="1" applyFill="1" applyBorder="1" applyAlignment="1">
      <alignment horizontal="center" vertical="center" wrapText="1"/>
    </xf>
    <xf numFmtId="0" fontId="8" fillId="19" borderId="22" xfId="1" applyFont="1" applyFill="1" applyBorder="1" applyAlignment="1">
      <alignment horizontal="center" vertical="center"/>
    </xf>
    <xf numFmtId="0" fontId="8" fillId="19" borderId="27" xfId="1" applyFont="1" applyFill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4" xfId="1" applyFont="1" applyBorder="1" applyAlignment="1">
      <alignment horizontal="center" vertical="center" wrapText="1"/>
    </xf>
    <xf numFmtId="0" fontId="8" fillId="0" borderId="16" xfId="1" applyFont="1" applyBorder="1" applyAlignment="1">
      <alignment horizontal="center" vertical="center" wrapText="1"/>
    </xf>
    <xf numFmtId="0" fontId="8" fillId="0" borderId="16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179" fontId="8" fillId="19" borderId="23" xfId="1" applyNumberFormat="1" applyFont="1" applyFill="1" applyBorder="1" applyAlignment="1">
      <alignment horizontal="center" vertical="center"/>
    </xf>
    <xf numFmtId="179" fontId="8" fillId="19" borderId="29" xfId="1" applyNumberFormat="1" applyFont="1" applyFill="1" applyBorder="1" applyAlignment="1">
      <alignment horizontal="center" vertical="center"/>
    </xf>
    <xf numFmtId="0" fontId="8" fillId="14" borderId="18" xfId="1" applyFont="1" applyFill="1" applyBorder="1" applyAlignment="1">
      <alignment horizontal="center" vertical="center"/>
    </xf>
    <xf numFmtId="0" fontId="8" fillId="14" borderId="27" xfId="1" applyFont="1" applyFill="1" applyBorder="1" applyAlignment="1">
      <alignment horizontal="center" vertical="center"/>
    </xf>
    <xf numFmtId="179" fontId="8" fillId="18" borderId="38" xfId="1" applyNumberFormat="1" applyFont="1" applyFill="1" applyBorder="1" applyAlignment="1">
      <alignment horizontal="center" vertical="center"/>
    </xf>
    <xf numFmtId="179" fontId="8" fillId="18" borderId="29" xfId="1" applyNumberFormat="1" applyFont="1" applyFill="1" applyBorder="1" applyAlignment="1">
      <alignment horizontal="center" vertical="center"/>
    </xf>
    <xf numFmtId="0" fontId="8" fillId="18" borderId="22" xfId="1" applyFont="1" applyFill="1" applyBorder="1" applyAlignment="1">
      <alignment horizontal="center" vertical="center"/>
    </xf>
    <xf numFmtId="0" fontId="8" fillId="18" borderId="9" xfId="1" applyFont="1" applyFill="1" applyBorder="1" applyAlignment="1">
      <alignment horizontal="center" vertical="center"/>
    </xf>
    <xf numFmtId="0" fontId="8" fillId="18" borderId="10" xfId="1" applyFont="1" applyFill="1" applyBorder="1" applyAlignment="1">
      <alignment horizontal="center" vertical="center"/>
    </xf>
    <xf numFmtId="179" fontId="8" fillId="18" borderId="19" xfId="1" applyNumberFormat="1" applyFont="1" applyFill="1" applyBorder="1" applyAlignment="1">
      <alignment horizontal="center" vertical="center"/>
    </xf>
    <xf numFmtId="179" fontId="8" fillId="18" borderId="21" xfId="1" applyNumberFormat="1" applyFont="1" applyFill="1" applyBorder="1" applyAlignment="1">
      <alignment horizontal="center" vertical="center"/>
    </xf>
    <xf numFmtId="0" fontId="8" fillId="19" borderId="11" xfId="1" applyFont="1" applyFill="1" applyBorder="1" applyAlignment="1">
      <alignment horizontal="center" vertical="center"/>
    </xf>
    <xf numFmtId="0" fontId="8" fillId="19" borderId="51" xfId="1" applyFont="1" applyFill="1" applyBorder="1" applyAlignment="1">
      <alignment horizontal="center" vertical="center"/>
    </xf>
    <xf numFmtId="179" fontId="8" fillId="19" borderId="41" xfId="1" applyNumberFormat="1" applyFont="1" applyFill="1" applyBorder="1" applyAlignment="1">
      <alignment horizontal="center" vertical="center"/>
    </xf>
    <xf numFmtId="179" fontId="8" fillId="19" borderId="52" xfId="1" applyNumberFormat="1" applyFont="1" applyFill="1" applyBorder="1" applyAlignment="1">
      <alignment horizontal="center" vertical="center"/>
    </xf>
    <xf numFmtId="0" fontId="8" fillId="18" borderId="27" xfId="1" applyFont="1" applyFill="1" applyBorder="1" applyAlignment="1">
      <alignment horizontal="center" vertical="center"/>
    </xf>
    <xf numFmtId="179" fontId="8" fillId="18" borderId="23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183" fontId="35" fillId="0" borderId="34" xfId="3" applyNumberFormat="1" applyFont="1" applyBorder="1" applyAlignment="1">
      <alignment horizontal="center" vertical="center" wrapText="1"/>
    </xf>
    <xf numFmtId="183" fontId="35" fillId="0" borderId="32" xfId="3" applyNumberFormat="1" applyFont="1" applyBorder="1" applyAlignment="1">
      <alignment horizontal="center" vertical="center" wrapText="1"/>
    </xf>
    <xf numFmtId="0" fontId="56" fillId="0" borderId="0" xfId="3" applyFont="1" applyAlignment="1">
      <alignment horizontal="center" vertical="center"/>
    </xf>
    <xf numFmtId="57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31" fontId="32" fillId="0" borderId="0" xfId="3" applyNumberFormat="1" applyFont="1" applyAlignment="1">
      <alignment horizontal="center" vertical="center"/>
    </xf>
    <xf numFmtId="0" fontId="27" fillId="0" borderId="0" xfId="3" applyFont="1" applyBorder="1" applyAlignment="1">
      <alignment horizontal="center" vertical="center"/>
    </xf>
    <xf numFmtId="0" fontId="29" fillId="0" borderId="0" xfId="3" applyFont="1" applyBorder="1" applyAlignment="1">
      <alignment horizontal="center" vertical="center"/>
    </xf>
    <xf numFmtId="0" fontId="35" fillId="0" borderId="0" xfId="3" applyFont="1" applyBorder="1" applyAlignment="1">
      <alignment horizontal="center" vertical="center"/>
    </xf>
    <xf numFmtId="0" fontId="19" fillId="0" borderId="22" xfId="3" applyFont="1" applyBorder="1" applyAlignment="1">
      <alignment horizontal="center" vertical="center" wrapText="1"/>
    </xf>
    <xf numFmtId="0" fontId="19" fillId="0" borderId="10" xfId="3" applyFont="1" applyBorder="1" applyAlignment="1">
      <alignment horizontal="center" vertical="center" wrapText="1"/>
    </xf>
    <xf numFmtId="0" fontId="19" fillId="0" borderId="15" xfId="3" applyFont="1" applyBorder="1" applyAlignment="1">
      <alignment horizontal="center" vertical="center" wrapText="1"/>
    </xf>
    <xf numFmtId="0" fontId="19" fillId="0" borderId="5" xfId="3" applyFont="1" applyBorder="1" applyAlignment="1">
      <alignment horizontal="center" vertical="center" wrapText="1"/>
    </xf>
    <xf numFmtId="0" fontId="19" fillId="0" borderId="23" xfId="3" applyFont="1" applyBorder="1" applyAlignment="1">
      <alignment horizontal="center" vertical="center" wrapText="1"/>
    </xf>
    <xf numFmtId="0" fontId="19" fillId="0" borderId="21" xfId="3" applyFont="1" applyBorder="1" applyAlignment="1">
      <alignment horizontal="center" vertical="center" wrapText="1"/>
    </xf>
    <xf numFmtId="181" fontId="19" fillId="0" borderId="15" xfId="3" applyNumberFormat="1" applyFont="1" applyBorder="1" applyAlignment="1">
      <alignment horizontal="center" vertical="center" wrapText="1"/>
    </xf>
    <xf numFmtId="181" fontId="19" fillId="0" borderId="5" xfId="3" applyNumberFormat="1" applyFont="1" applyBorder="1" applyAlignment="1">
      <alignment horizontal="center" vertical="center" wrapText="1"/>
    </xf>
    <xf numFmtId="0" fontId="7" fillId="0" borderId="15" xfId="3" applyFont="1" applyBorder="1" applyAlignment="1">
      <alignment horizontal="center" vertical="center" wrapText="1"/>
    </xf>
    <xf numFmtId="0" fontId="7" fillId="0" borderId="5" xfId="3" applyFont="1" applyBorder="1" applyAlignment="1">
      <alignment horizontal="center" vertical="center" wrapText="1"/>
    </xf>
    <xf numFmtId="0" fontId="38" fillId="0" borderId="15" xfId="0" applyFont="1" applyFill="1" applyBorder="1" applyAlignment="1">
      <alignment horizontal="center" vertical="center" wrapText="1"/>
    </xf>
    <xf numFmtId="0" fontId="38" fillId="0" borderId="5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35" xfId="0" applyFont="1" applyFill="1" applyBorder="1" applyAlignment="1">
      <alignment vertical="top" wrapText="1"/>
    </xf>
    <xf numFmtId="0" fontId="38" fillId="0" borderId="36" xfId="0" applyFont="1" applyFill="1" applyBorder="1" applyAlignment="1">
      <alignment vertical="top"/>
    </xf>
    <xf numFmtId="0" fontId="38" fillId="0" borderId="37" xfId="0" applyFont="1" applyFill="1" applyBorder="1" applyAlignment="1">
      <alignment vertical="top"/>
    </xf>
    <xf numFmtId="0" fontId="22" fillId="0" borderId="0" xfId="0" applyFont="1"/>
    <xf numFmtId="0" fontId="0" fillId="0" borderId="0" xfId="0"/>
    <xf numFmtId="182" fontId="6" fillId="0" borderId="0" xfId="3" applyNumberFormat="1" applyFill="1" applyBorder="1" applyAlignment="1">
      <alignment horizontal="center" vertical="center"/>
    </xf>
    <xf numFmtId="0" fontId="46" fillId="0" borderId="0" xfId="4" applyFont="1" applyBorder="1" applyAlignment="1">
      <alignment horizontal="left" vertical="center"/>
    </xf>
    <xf numFmtId="0" fontId="40" fillId="0" borderId="0" xfId="4" applyFont="1" applyBorder="1" applyAlignment="1">
      <alignment horizontal="right" vertical="center"/>
    </xf>
    <xf numFmtId="0" fontId="41" fillId="0" borderId="0" xfId="4" applyFont="1" applyAlignment="1">
      <alignment horizontal="center" vertical="center"/>
    </xf>
    <xf numFmtId="0" fontId="44" fillId="0" borderId="0" xfId="4" applyFont="1" applyBorder="1" applyAlignment="1">
      <alignment horizontal="left" vertical="center"/>
    </xf>
    <xf numFmtId="0" fontId="45" fillId="0" borderId="0" xfId="4" applyFont="1" applyBorder="1" applyAlignment="1">
      <alignment horizontal="left" vertical="center"/>
    </xf>
    <xf numFmtId="0" fontId="44" fillId="0" borderId="0" xfId="4" applyFont="1" applyFill="1" applyBorder="1" applyAlignment="1">
      <alignment horizontal="left" vertical="center"/>
    </xf>
    <xf numFmtId="0" fontId="47" fillId="0" borderId="22" xfId="4" applyFont="1" applyBorder="1" applyAlignment="1">
      <alignment horizontal="center" vertical="center"/>
    </xf>
    <xf numFmtId="0" fontId="47" fillId="0" borderId="15" xfId="4" applyFont="1" applyBorder="1" applyAlignment="1">
      <alignment horizontal="center" vertical="center"/>
    </xf>
    <xf numFmtId="0" fontId="47" fillId="0" borderId="9" xfId="4" applyFont="1" applyBorder="1" applyAlignment="1">
      <alignment horizontal="center" vertical="center"/>
    </xf>
    <xf numFmtId="0" fontId="44" fillId="0" borderId="27" xfId="4" applyFont="1" applyBorder="1" applyAlignment="1">
      <alignment horizontal="left" vertical="center" wrapText="1"/>
    </xf>
    <xf numFmtId="0" fontId="44" fillId="0" borderId="28" xfId="4" applyFont="1" applyBorder="1" applyAlignment="1">
      <alignment horizontal="left" vertical="center" wrapText="1"/>
    </xf>
    <xf numFmtId="0" fontId="44" fillId="0" borderId="29" xfId="4" applyFont="1" applyBorder="1" applyAlignment="1">
      <alignment horizontal="left" vertical="center" wrapText="1"/>
    </xf>
    <xf numFmtId="0" fontId="44" fillId="0" borderId="0" xfId="4" applyFont="1" applyAlignment="1">
      <alignment horizontal="center" vertical="center"/>
    </xf>
    <xf numFmtId="31" fontId="44" fillId="0" borderId="0" xfId="4" applyNumberFormat="1" applyFont="1" applyAlignment="1">
      <alignment horizontal="center" vertical="center"/>
    </xf>
  </cellXfs>
  <cellStyles count="6">
    <cellStyle name="常规" xfId="0" builtinId="0"/>
    <cellStyle name="常规 2" xfId="1"/>
    <cellStyle name="常规 3" xfId="2"/>
    <cellStyle name="常规 3 2" xfId="5"/>
    <cellStyle name="常规 4" xfId="3"/>
    <cellStyle name="常规 5" xfId="4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60960</xdr:rowOff>
        </xdr:from>
        <xdr:to>
          <xdr:col>13</xdr:col>
          <xdr:colOff>0</xdr:colOff>
          <xdr:row>1</xdr:row>
          <xdr:rowOff>266700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160020</xdr:rowOff>
        </xdr:from>
        <xdr:to>
          <xdr:col>17</xdr:col>
          <xdr:colOff>175260</xdr:colOff>
          <xdr:row>3</xdr:row>
          <xdr:rowOff>160020</xdr:rowOff>
        </xdr:to>
        <xdr:sp macro="" textlink="">
          <xdr:nvSpPr>
            <xdr:cNvPr id="25601" name="cmd_setInterfac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30480</xdr:colOff>
          <xdr:row>2</xdr:row>
          <xdr:rowOff>38100</xdr:rowOff>
        </xdr:from>
        <xdr:to>
          <xdr:col>22</xdr:col>
          <xdr:colOff>198120</xdr:colOff>
          <xdr:row>4</xdr:row>
          <xdr:rowOff>22860</xdr:rowOff>
        </xdr:to>
        <xdr:sp macro="" textlink="">
          <xdr:nvSpPr>
            <xdr:cNvPr id="25604" name="cmdVolum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2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106680</xdr:colOff>
          <xdr:row>0</xdr:row>
          <xdr:rowOff>137160</xdr:rowOff>
        </xdr:from>
        <xdr:to>
          <xdr:col>24</xdr:col>
          <xdr:colOff>807720</xdr:colOff>
          <xdr:row>1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0</xdr:row>
          <xdr:rowOff>121920</xdr:rowOff>
        </xdr:from>
        <xdr:to>
          <xdr:col>23</xdr:col>
          <xdr:colOff>746760</xdr:colOff>
          <xdr:row>1</xdr:row>
          <xdr:rowOff>121920</xdr:rowOff>
        </xdr:to>
        <xdr:sp macro="" textlink="">
          <xdr:nvSpPr>
            <xdr:cNvPr id="22532" name="cmdShoot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60960</xdr:rowOff>
        </xdr:from>
        <xdr:to>
          <xdr:col>14</xdr:col>
          <xdr:colOff>365760</xdr:colOff>
          <xdr:row>3</xdr:row>
          <xdr:rowOff>259080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4</xdr:row>
          <xdr:rowOff>0</xdr:rowOff>
        </xdr:from>
        <xdr:to>
          <xdr:col>14</xdr:col>
          <xdr:colOff>373380</xdr:colOff>
          <xdr:row>6</xdr:row>
          <xdr:rowOff>38100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1455420</xdr:colOff>
          <xdr:row>0</xdr:row>
          <xdr:rowOff>0</xdr:rowOff>
        </xdr:from>
        <xdr:to>
          <xdr:col>22</xdr:col>
          <xdr:colOff>2240280</xdr:colOff>
          <xdr:row>2</xdr:row>
          <xdr:rowOff>22860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297180</xdr:colOff>
          <xdr:row>0</xdr:row>
          <xdr:rowOff>0</xdr:rowOff>
        </xdr:from>
        <xdr:to>
          <xdr:col>20</xdr:col>
          <xdr:colOff>7620</xdr:colOff>
          <xdr:row>2</xdr:row>
          <xdr:rowOff>114300</xdr:rowOff>
        </xdr:to>
        <xdr:sp macro="" textlink="">
          <xdr:nvSpPr>
            <xdr:cNvPr id="10242" name="Image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0</xdr:rowOff>
        </xdr:from>
        <xdr:to>
          <xdr:col>2</xdr:col>
          <xdr:colOff>106680</xdr:colOff>
          <xdr:row>1</xdr:row>
          <xdr:rowOff>137160</xdr:rowOff>
        </xdr:to>
        <xdr:sp macro="" textlink="">
          <xdr:nvSpPr>
            <xdr:cNvPr id="10243" name="CommandButton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35"/>
  <sheetViews>
    <sheetView workbookViewId="0">
      <selection activeCell="D23" sqref="D23"/>
    </sheetView>
  </sheetViews>
  <sheetFormatPr defaultRowHeight="14.4"/>
  <cols>
    <col min="1" max="1" width="9" customWidth="1"/>
    <col min="12" max="12" width="8.6640625" customWidth="1"/>
    <col min="13" max="13" width="5.44140625" bestFit="1" customWidth="1"/>
  </cols>
  <sheetData>
    <row r="1" spans="1:13">
      <c r="A1" s="385" t="s">
        <v>39</v>
      </c>
      <c r="B1" s="382" t="s">
        <v>42</v>
      </c>
      <c r="C1" s="382"/>
      <c r="D1" s="382" t="s">
        <v>2</v>
      </c>
      <c r="E1" s="382"/>
      <c r="F1" s="382" t="s">
        <v>1</v>
      </c>
      <c r="G1" s="382"/>
      <c r="H1" s="382" t="s">
        <v>3</v>
      </c>
      <c r="I1" s="382"/>
      <c r="J1" s="382" t="s">
        <v>41</v>
      </c>
      <c r="K1" s="382"/>
    </row>
    <row r="2" spans="1:13" ht="24" customHeight="1" thickBot="1">
      <c r="A2" s="386"/>
      <c r="B2" s="383" t="s">
        <v>60</v>
      </c>
      <c r="C2" s="384"/>
      <c r="D2" s="383" t="s">
        <v>61</v>
      </c>
      <c r="E2" s="384"/>
      <c r="F2" s="383" t="s">
        <v>62</v>
      </c>
      <c r="G2" s="384"/>
      <c r="H2" s="383" t="s">
        <v>63</v>
      </c>
      <c r="I2" s="384"/>
      <c r="J2" s="384">
        <v>11</v>
      </c>
      <c r="K2" s="384"/>
    </row>
    <row r="3" spans="1:13" s="39" customFormat="1" ht="27" customHeight="1">
      <c r="A3" s="395" t="s">
        <v>9</v>
      </c>
      <c r="B3" s="389" t="s">
        <v>10</v>
      </c>
      <c r="C3" s="389" t="s">
        <v>18</v>
      </c>
      <c r="D3" s="389" t="s">
        <v>19</v>
      </c>
      <c r="E3" s="397" t="s">
        <v>20</v>
      </c>
      <c r="F3" s="389" t="s">
        <v>11</v>
      </c>
      <c r="G3" s="391" t="s">
        <v>40</v>
      </c>
      <c r="H3" s="393" t="s">
        <v>12</v>
      </c>
      <c r="I3" s="389" t="s">
        <v>13</v>
      </c>
      <c r="J3" s="389"/>
      <c r="K3" s="389" t="s">
        <v>14</v>
      </c>
      <c r="L3" s="389"/>
      <c r="M3" s="387" t="s">
        <v>15</v>
      </c>
    </row>
    <row r="4" spans="1:13" s="39" customFormat="1" ht="24" customHeight="1">
      <c r="A4" s="396"/>
      <c r="B4" s="390"/>
      <c r="C4" s="390"/>
      <c r="D4" s="390"/>
      <c r="E4" s="398"/>
      <c r="F4" s="390"/>
      <c r="G4" s="392"/>
      <c r="H4" s="394"/>
      <c r="I4" s="59" t="s">
        <v>21</v>
      </c>
      <c r="J4" s="59" t="s">
        <v>22</v>
      </c>
      <c r="K4" s="43" t="s">
        <v>16</v>
      </c>
      <c r="L4" s="59" t="s">
        <v>23</v>
      </c>
      <c r="M4" s="388"/>
    </row>
    <row r="5" spans="1:13">
      <c r="A5">
        <v>1</v>
      </c>
      <c r="B5" t="s">
        <v>31</v>
      </c>
      <c r="E5">
        <v>18.100000381469727</v>
      </c>
      <c r="H5" t="s">
        <v>45</v>
      </c>
      <c r="J5">
        <v>9300</v>
      </c>
      <c r="L5">
        <v>513</v>
      </c>
    </row>
    <row r="6" spans="1:13">
      <c r="A6">
        <v>2</v>
      </c>
      <c r="B6" t="s">
        <v>31</v>
      </c>
      <c r="E6">
        <v>14.100000381469727</v>
      </c>
      <c r="H6" t="s">
        <v>43</v>
      </c>
      <c r="J6">
        <v>7050</v>
      </c>
      <c r="L6">
        <v>500</v>
      </c>
    </row>
    <row r="7" spans="1:13">
      <c r="A7">
        <v>3</v>
      </c>
      <c r="B7" t="s">
        <v>31</v>
      </c>
      <c r="E7">
        <v>54.5</v>
      </c>
      <c r="H7" t="s">
        <v>44</v>
      </c>
      <c r="J7">
        <v>34700</v>
      </c>
      <c r="L7" t="s">
        <v>46</v>
      </c>
    </row>
    <row r="8" spans="1:13">
      <c r="A8">
        <v>4</v>
      </c>
      <c r="B8" t="s">
        <v>31</v>
      </c>
      <c r="E8">
        <v>19.299999237060547</v>
      </c>
      <c r="H8" t="s">
        <v>17</v>
      </c>
      <c r="J8">
        <v>16200</v>
      </c>
      <c r="L8" t="s">
        <v>47</v>
      </c>
    </row>
    <row r="9" spans="1:13">
      <c r="A9">
        <v>5</v>
      </c>
      <c r="B9" t="s">
        <v>31</v>
      </c>
      <c r="E9">
        <v>16.799999237060547</v>
      </c>
      <c r="H9" t="s">
        <v>44</v>
      </c>
      <c r="J9">
        <v>13600</v>
      </c>
      <c r="L9" t="s">
        <v>48</v>
      </c>
    </row>
    <row r="10" spans="1:13">
      <c r="A10">
        <v>6</v>
      </c>
      <c r="B10" t="s">
        <v>31</v>
      </c>
      <c r="E10">
        <v>83.599998474121094</v>
      </c>
      <c r="H10" t="s">
        <v>45</v>
      </c>
      <c r="J10">
        <v>58300</v>
      </c>
      <c r="L10" t="s">
        <v>65</v>
      </c>
    </row>
    <row r="11" spans="1:13">
      <c r="A11">
        <v>7</v>
      </c>
      <c r="B11" t="s">
        <v>30</v>
      </c>
      <c r="E11">
        <v>18.5</v>
      </c>
      <c r="H11" t="s">
        <v>17</v>
      </c>
      <c r="J11">
        <v>2033</v>
      </c>
      <c r="L11">
        <v>110</v>
      </c>
    </row>
    <row r="12" spans="1:13">
      <c r="A12">
        <v>8</v>
      </c>
      <c r="B12" t="s">
        <v>29</v>
      </c>
      <c r="E12">
        <v>18.100000381469727</v>
      </c>
      <c r="H12" t="s">
        <v>45</v>
      </c>
      <c r="J12">
        <v>236</v>
      </c>
      <c r="L12">
        <v>13</v>
      </c>
    </row>
    <row r="13" spans="1:13">
      <c r="A13">
        <v>9</v>
      </c>
      <c r="B13" t="s">
        <v>29</v>
      </c>
      <c r="E13">
        <v>8.3999996185302734</v>
      </c>
      <c r="H13" t="s">
        <v>44</v>
      </c>
      <c r="J13">
        <v>675</v>
      </c>
      <c r="L13">
        <v>80</v>
      </c>
    </row>
    <row r="14" spans="1:13">
      <c r="A14">
        <v>10</v>
      </c>
      <c r="B14" t="s">
        <v>29</v>
      </c>
      <c r="E14">
        <v>6.1999998092651367</v>
      </c>
      <c r="H14" t="s">
        <v>17</v>
      </c>
      <c r="J14">
        <v>679</v>
      </c>
      <c r="L14">
        <v>110</v>
      </c>
    </row>
    <row r="15" spans="1:13">
      <c r="A15">
        <v>11</v>
      </c>
      <c r="B15" t="s">
        <v>28</v>
      </c>
      <c r="E15">
        <v>60.400001525878906</v>
      </c>
      <c r="H15" t="s">
        <v>45</v>
      </c>
      <c r="J15">
        <v>6718</v>
      </c>
      <c r="L15" t="s">
        <v>49</v>
      </c>
    </row>
    <row r="16" spans="1:13">
      <c r="A16">
        <v>12</v>
      </c>
      <c r="B16" t="s">
        <v>28</v>
      </c>
      <c r="E16">
        <v>10.199999809265137</v>
      </c>
      <c r="H16" t="s">
        <v>43</v>
      </c>
      <c r="J16">
        <v>3290</v>
      </c>
      <c r="L16">
        <v>323</v>
      </c>
    </row>
    <row r="17" spans="1:12">
      <c r="A17">
        <v>13</v>
      </c>
      <c r="B17" t="s">
        <v>28</v>
      </c>
      <c r="E17">
        <v>44.200000762939453</v>
      </c>
      <c r="H17" t="s">
        <v>44</v>
      </c>
      <c r="J17">
        <v>15122</v>
      </c>
      <c r="L17" t="s">
        <v>50</v>
      </c>
    </row>
    <row r="18" spans="1:12">
      <c r="A18">
        <v>14</v>
      </c>
      <c r="B18" t="s">
        <v>28</v>
      </c>
      <c r="E18">
        <v>18.799999237060547</v>
      </c>
      <c r="H18" t="s">
        <v>17</v>
      </c>
      <c r="J18">
        <v>7415</v>
      </c>
      <c r="L18" t="s">
        <v>51</v>
      </c>
    </row>
    <row r="19" spans="1:12">
      <c r="A19">
        <v>15</v>
      </c>
      <c r="B19" t="s">
        <v>28</v>
      </c>
      <c r="E19">
        <v>16.700000762939453</v>
      </c>
      <c r="H19" t="s">
        <v>44</v>
      </c>
      <c r="J19">
        <v>6023</v>
      </c>
      <c r="L19" t="s">
        <v>52</v>
      </c>
    </row>
    <row r="20" spans="1:12">
      <c r="A20">
        <v>16</v>
      </c>
      <c r="B20" t="s">
        <v>28</v>
      </c>
      <c r="E20">
        <v>56.099998474121094</v>
      </c>
      <c r="H20" t="s">
        <v>45</v>
      </c>
      <c r="J20">
        <v>11891</v>
      </c>
      <c r="L20" t="s">
        <v>66</v>
      </c>
    </row>
    <row r="21" spans="1:12">
      <c r="A21">
        <v>17</v>
      </c>
      <c r="B21" t="s">
        <v>7</v>
      </c>
      <c r="E21">
        <v>79.5</v>
      </c>
      <c r="H21" t="s">
        <v>45</v>
      </c>
      <c r="J21">
        <v>12274</v>
      </c>
      <c r="L21" t="s">
        <v>53</v>
      </c>
    </row>
    <row r="22" spans="1:12">
      <c r="A22">
        <v>18</v>
      </c>
      <c r="B22" t="s">
        <v>7</v>
      </c>
      <c r="E22">
        <v>10.899999618530273</v>
      </c>
      <c r="H22" t="s">
        <v>43</v>
      </c>
      <c r="J22">
        <v>3691</v>
      </c>
      <c r="L22" t="s">
        <v>54</v>
      </c>
    </row>
    <row r="23" spans="1:12">
      <c r="A23">
        <v>19</v>
      </c>
      <c r="B23" t="s">
        <v>7</v>
      </c>
      <c r="E23">
        <v>48.5</v>
      </c>
      <c r="H23" t="s">
        <v>44</v>
      </c>
      <c r="J23">
        <v>9744</v>
      </c>
      <c r="L23" t="s">
        <v>55</v>
      </c>
    </row>
    <row r="24" spans="1:12">
      <c r="A24">
        <v>20</v>
      </c>
      <c r="B24" t="s">
        <v>7</v>
      </c>
      <c r="E24">
        <v>12.800000190734863</v>
      </c>
      <c r="H24" t="s">
        <v>17</v>
      </c>
      <c r="J24">
        <v>4060</v>
      </c>
      <c r="L24" t="s">
        <v>56</v>
      </c>
    </row>
    <row r="25" spans="1:12">
      <c r="A25">
        <v>21</v>
      </c>
      <c r="B25" t="s">
        <v>7</v>
      </c>
      <c r="E25">
        <v>15.699999809265137</v>
      </c>
      <c r="H25" t="s">
        <v>44</v>
      </c>
      <c r="J25">
        <v>5332</v>
      </c>
      <c r="L25" t="s">
        <v>57</v>
      </c>
    </row>
    <row r="26" spans="1:12">
      <c r="A26">
        <v>22</v>
      </c>
      <c r="B26" t="s">
        <v>7</v>
      </c>
      <c r="E26">
        <v>23.600000381469727</v>
      </c>
      <c r="H26" t="s">
        <v>45</v>
      </c>
      <c r="J26">
        <v>3782</v>
      </c>
      <c r="L26">
        <v>160</v>
      </c>
    </row>
    <row r="27" spans="1:12">
      <c r="A27">
        <v>23</v>
      </c>
      <c r="B27" t="s">
        <v>4</v>
      </c>
      <c r="E27">
        <v>43.200000762939453</v>
      </c>
      <c r="H27" t="s">
        <v>45</v>
      </c>
      <c r="J27">
        <v>8817</v>
      </c>
      <c r="L27" t="s">
        <v>58</v>
      </c>
    </row>
    <row r="28" spans="1:12">
      <c r="A28">
        <v>24</v>
      </c>
      <c r="B28" t="s">
        <v>4</v>
      </c>
      <c r="E28">
        <v>51.799999237060547</v>
      </c>
      <c r="H28" t="s">
        <v>44</v>
      </c>
      <c r="J28">
        <v>9269</v>
      </c>
      <c r="L28" t="s">
        <v>59</v>
      </c>
    </row>
    <row r="29" spans="1:12">
      <c r="A29">
        <v>25</v>
      </c>
      <c r="B29" t="s">
        <v>4</v>
      </c>
      <c r="E29">
        <v>8.1999998092651367</v>
      </c>
      <c r="H29" t="s">
        <v>17</v>
      </c>
      <c r="J29">
        <v>2045</v>
      </c>
      <c r="L29">
        <v>250</v>
      </c>
    </row>
    <row r="30" spans="1:12">
      <c r="A30">
        <v>26</v>
      </c>
      <c r="B30" t="s">
        <v>4</v>
      </c>
      <c r="E30">
        <v>13.199999809265137</v>
      </c>
      <c r="H30" t="s">
        <v>44</v>
      </c>
      <c r="J30">
        <v>2189</v>
      </c>
      <c r="L30" t="s">
        <v>67</v>
      </c>
    </row>
    <row r="31" spans="1:12">
      <c r="A31">
        <v>27</v>
      </c>
      <c r="B31" t="s">
        <v>4</v>
      </c>
      <c r="E31">
        <v>4.9000000953674316</v>
      </c>
      <c r="H31" t="s">
        <v>45</v>
      </c>
      <c r="J31">
        <v>590</v>
      </c>
      <c r="L31">
        <v>120</v>
      </c>
    </row>
    <row r="32" spans="1:12">
      <c r="A32">
        <v>28</v>
      </c>
      <c r="B32" t="s">
        <v>5</v>
      </c>
      <c r="E32">
        <v>74.800003051757813</v>
      </c>
      <c r="H32" t="s">
        <v>45</v>
      </c>
      <c r="J32">
        <v>8092</v>
      </c>
      <c r="L32" t="s">
        <v>68</v>
      </c>
    </row>
    <row r="33" spans="1:12">
      <c r="A33">
        <v>29</v>
      </c>
      <c r="B33" t="s">
        <v>5</v>
      </c>
      <c r="E33">
        <v>32.099998474121094</v>
      </c>
      <c r="H33" t="s">
        <v>45</v>
      </c>
      <c r="J33">
        <v>3549</v>
      </c>
      <c r="L33" t="s">
        <v>69</v>
      </c>
    </row>
    <row r="34" spans="1:12">
      <c r="A34">
        <v>30</v>
      </c>
      <c r="B34" t="s">
        <v>6</v>
      </c>
      <c r="E34">
        <v>74.800003051757813</v>
      </c>
      <c r="H34" t="s">
        <v>45</v>
      </c>
      <c r="J34">
        <v>10610</v>
      </c>
      <c r="L34" t="s">
        <v>70</v>
      </c>
    </row>
    <row r="35" spans="1:12">
      <c r="A35">
        <v>31</v>
      </c>
      <c r="B35" t="s">
        <v>6</v>
      </c>
      <c r="E35">
        <v>6.9000000953674316</v>
      </c>
      <c r="H35" t="s">
        <v>45</v>
      </c>
      <c r="J35">
        <v>1024</v>
      </c>
      <c r="L35" t="s">
        <v>71</v>
      </c>
    </row>
  </sheetData>
  <mergeCells count="22">
    <mergeCell ref="A3:A4"/>
    <mergeCell ref="B3:B4"/>
    <mergeCell ref="C3:C4"/>
    <mergeCell ref="D3:D4"/>
    <mergeCell ref="E3:E4"/>
    <mergeCell ref="M3:M4"/>
    <mergeCell ref="F3:F4"/>
    <mergeCell ref="G3:G4"/>
    <mergeCell ref="H3:H4"/>
    <mergeCell ref="I3:J3"/>
    <mergeCell ref="K3:L3"/>
    <mergeCell ref="A1:A2"/>
    <mergeCell ref="B1:C1"/>
    <mergeCell ref="B2:C2"/>
    <mergeCell ref="D1:E1"/>
    <mergeCell ref="D2:E2"/>
    <mergeCell ref="F1:G1"/>
    <mergeCell ref="F2:G2"/>
    <mergeCell ref="H1:I1"/>
    <mergeCell ref="H2:I2"/>
    <mergeCell ref="J1:K1"/>
    <mergeCell ref="J2:K2"/>
  </mergeCells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11</xdr:col>
                <xdr:colOff>45720</xdr:colOff>
                <xdr:row>0</xdr:row>
                <xdr:rowOff>60960</xdr:rowOff>
              </from>
              <to>
                <xdr:col>13</xdr:col>
                <xdr:colOff>106680</xdr:colOff>
                <xdr:row>1</xdr:row>
                <xdr:rowOff>259080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7"/>
  <sheetViews>
    <sheetView showZeros="0" zoomScale="70" zoomScaleNormal="70" workbookViewId="0">
      <selection activeCell="P21" sqref="P21"/>
    </sheetView>
  </sheetViews>
  <sheetFormatPr defaultColWidth="9" defaultRowHeight="20.399999999999999"/>
  <cols>
    <col min="1" max="1" width="13.33203125" style="259" customWidth="1"/>
    <col min="2" max="4" width="17.77734375" style="247" customWidth="1"/>
    <col min="5" max="5" width="20.33203125" style="247" customWidth="1"/>
    <col min="6" max="6" width="16" style="247" customWidth="1"/>
    <col min="7" max="7" width="6.88671875" style="248" bestFit="1" customWidth="1"/>
    <col min="8" max="8" width="13.21875" style="248" customWidth="1"/>
    <col min="9" max="9" width="11.77734375" style="248" customWidth="1"/>
    <col min="10" max="16384" width="9" style="248"/>
  </cols>
  <sheetData>
    <row r="1" spans="1:9">
      <c r="A1" s="245">
        <v>93</v>
      </c>
      <c r="B1" s="246">
        <v>97</v>
      </c>
      <c r="C1" s="246" t="s">
        <v>211</v>
      </c>
      <c r="D1" s="246" t="s">
        <v>212</v>
      </c>
      <c r="E1" s="246" t="s">
        <v>213</v>
      </c>
    </row>
    <row r="2" spans="1:9" ht="21" thickBot="1">
      <c r="A2" s="249"/>
      <c r="B2" s="250"/>
      <c r="C2" s="251"/>
      <c r="D2" s="252"/>
      <c r="E2" s="253"/>
      <c r="H2" s="248" t="s">
        <v>384</v>
      </c>
      <c r="I2" s="248" t="s">
        <v>385</v>
      </c>
    </row>
    <row r="3" spans="1:9" s="80" customFormat="1" ht="24.75" customHeight="1" thickBot="1">
      <c r="A3" s="254"/>
      <c r="B3" s="254"/>
      <c r="C3" s="254"/>
      <c r="D3" s="254"/>
      <c r="E3" s="254"/>
      <c r="F3" s="254"/>
    </row>
    <row r="4" spans="1:9" s="255" customFormat="1" ht="24" customHeight="1">
      <c r="A4" s="176"/>
      <c r="B4" s="140" t="s">
        <v>214</v>
      </c>
      <c r="C4" s="140" t="s">
        <v>250</v>
      </c>
      <c r="D4" s="140" t="s">
        <v>251</v>
      </c>
      <c r="E4" s="140" t="s">
        <v>215</v>
      </c>
      <c r="F4" s="177" t="s">
        <v>216</v>
      </c>
    </row>
    <row r="5" spans="1:9" s="256" customFormat="1" ht="24" customHeight="1">
      <c r="A5" s="81" t="s">
        <v>217</v>
      </c>
      <c r="B5" s="82">
        <f>SUM(C5:F5)</f>
        <v>123000</v>
      </c>
      <c r="C5" s="82">
        <f>SUM(C6:C13)</f>
        <v>44000</v>
      </c>
      <c r="D5" s="82">
        <f>SUM(D6:D13)</f>
        <v>10000</v>
      </c>
      <c r="E5" s="82">
        <f>SUM(E6:E13)</f>
        <v>10000</v>
      </c>
      <c r="F5" s="82">
        <f>SUM(F6:F13)</f>
        <v>59000</v>
      </c>
    </row>
    <row r="6" spans="1:9" s="256" customFormat="1" ht="24" customHeight="1">
      <c r="A6" s="81" t="s">
        <v>218</v>
      </c>
      <c r="B6" s="82">
        <f t="shared" ref="B6:B14" si="0">SUM(C6:F6)</f>
        <v>0</v>
      </c>
      <c r="C6" s="83">
        <v>0</v>
      </c>
      <c r="D6" s="83">
        <v>0</v>
      </c>
      <c r="E6" s="83">
        <v>0</v>
      </c>
      <c r="F6" s="83">
        <v>0</v>
      </c>
    </row>
    <row r="7" spans="1:9" s="256" customFormat="1" ht="24" customHeight="1">
      <c r="A7" s="81" t="s">
        <v>219</v>
      </c>
      <c r="B7" s="82">
        <f t="shared" si="0"/>
        <v>2000</v>
      </c>
      <c r="C7" s="83">
        <v>1000</v>
      </c>
      <c r="D7" s="83">
        <v>500</v>
      </c>
      <c r="E7" s="83">
        <v>0</v>
      </c>
      <c r="F7" s="83">
        <v>500</v>
      </c>
    </row>
    <row r="8" spans="1:9" s="256" customFormat="1" ht="24" customHeight="1">
      <c r="A8" s="81" t="s">
        <v>220</v>
      </c>
      <c r="B8" s="82">
        <f t="shared" si="0"/>
        <v>32500</v>
      </c>
      <c r="C8" s="83">
        <v>13000</v>
      </c>
      <c r="D8" s="83">
        <v>4000</v>
      </c>
      <c r="E8" s="83">
        <v>4500</v>
      </c>
      <c r="F8" s="83">
        <v>11000</v>
      </c>
    </row>
    <row r="9" spans="1:9" s="256" customFormat="1" ht="24" customHeight="1">
      <c r="A9" s="81" t="s">
        <v>221</v>
      </c>
      <c r="B9" s="82">
        <f t="shared" si="0"/>
        <v>51000</v>
      </c>
      <c r="C9" s="83">
        <v>14500</v>
      </c>
      <c r="D9" s="83">
        <v>3000</v>
      </c>
      <c r="E9" s="83">
        <v>3000</v>
      </c>
      <c r="F9" s="83">
        <v>30500</v>
      </c>
    </row>
    <row r="10" spans="1:9" s="256" customFormat="1" ht="24" customHeight="1">
      <c r="A10" s="81" t="s">
        <v>222</v>
      </c>
      <c r="B10" s="82">
        <f t="shared" si="0"/>
        <v>0</v>
      </c>
      <c r="C10" s="83"/>
      <c r="D10" s="83"/>
      <c r="E10" s="83"/>
      <c r="F10" s="83"/>
    </row>
    <row r="11" spans="1:9" s="256" customFormat="1" ht="24" customHeight="1">
      <c r="A11" s="81" t="s">
        <v>223</v>
      </c>
      <c r="B11" s="82">
        <f t="shared" si="0"/>
        <v>14500</v>
      </c>
      <c r="C11" s="83">
        <v>5000</v>
      </c>
      <c r="D11" s="83">
        <v>1000</v>
      </c>
      <c r="E11" s="83">
        <v>2500</v>
      </c>
      <c r="F11" s="83">
        <v>6000</v>
      </c>
    </row>
    <row r="12" spans="1:9" s="256" customFormat="1" ht="24" customHeight="1">
      <c r="A12" s="141" t="s">
        <v>224</v>
      </c>
      <c r="B12" s="82">
        <f t="shared" si="0"/>
        <v>3000</v>
      </c>
      <c r="C12" s="142">
        <v>2000</v>
      </c>
      <c r="D12" s="142"/>
      <c r="E12" s="142"/>
      <c r="F12" s="83">
        <v>1000</v>
      </c>
    </row>
    <row r="13" spans="1:9" s="256" customFormat="1" ht="24" customHeight="1" thickBot="1">
      <c r="A13" s="87" t="s">
        <v>225</v>
      </c>
      <c r="B13" s="92">
        <f t="shared" si="0"/>
        <v>20000</v>
      </c>
      <c r="C13" s="93">
        <v>8500</v>
      </c>
      <c r="D13" s="93">
        <v>1500</v>
      </c>
      <c r="E13" s="93"/>
      <c r="F13" s="93">
        <v>10000</v>
      </c>
    </row>
    <row r="14" spans="1:9" s="80" customFormat="1" ht="24" customHeight="1" thickBot="1">
      <c r="A14" s="254"/>
      <c r="B14" s="254">
        <f t="shared" si="0"/>
        <v>12100</v>
      </c>
      <c r="C14" s="254">
        <v>3000</v>
      </c>
      <c r="D14" s="254">
        <v>600</v>
      </c>
      <c r="E14" s="254">
        <v>7000</v>
      </c>
      <c r="F14" s="254">
        <v>1500</v>
      </c>
    </row>
    <row r="15" spans="1:9" s="255" customFormat="1" ht="24" customHeight="1">
      <c r="A15" s="176"/>
      <c r="B15" s="84" t="s">
        <v>214</v>
      </c>
      <c r="C15" s="84" t="s">
        <v>226</v>
      </c>
      <c r="D15" s="84" t="s">
        <v>227</v>
      </c>
      <c r="E15" s="84" t="s">
        <v>228</v>
      </c>
      <c r="F15" s="84" t="s">
        <v>229</v>
      </c>
    </row>
    <row r="16" spans="1:9" s="256" customFormat="1" ht="24" customHeight="1">
      <c r="A16" s="81" t="s">
        <v>217</v>
      </c>
      <c r="B16" s="85">
        <f>SUM(C16:F16)</f>
        <v>153433.40770052362</v>
      </c>
      <c r="C16" s="244">
        <f t="shared" ref="C16:F25" si="1">IF(C$15="车柴",C5/0.85,IF(C$15="0#",C5/0.86,IF(C$15="93#",C5/0.745,C5/0.75)))</f>
        <v>59060.402684563756</v>
      </c>
      <c r="D16" s="244">
        <f t="shared" si="1"/>
        <v>13333.333333333334</v>
      </c>
      <c r="E16" s="244">
        <f t="shared" si="1"/>
        <v>11627.906976744187</v>
      </c>
      <c r="F16" s="244">
        <f t="shared" si="1"/>
        <v>69411.76470588235</v>
      </c>
    </row>
    <row r="17" spans="1:8" s="256" customFormat="1" ht="24" customHeight="1">
      <c r="A17" s="81" t="s">
        <v>218</v>
      </c>
      <c r="B17" s="85">
        <f t="shared" ref="B17:B24" si="2">SUM(C17:F17)</f>
        <v>0</v>
      </c>
      <c r="C17" s="244">
        <f t="shared" si="1"/>
        <v>0</v>
      </c>
      <c r="D17" s="244">
        <f t="shared" si="1"/>
        <v>0</v>
      </c>
      <c r="E17" s="244">
        <f t="shared" si="1"/>
        <v>0</v>
      </c>
      <c r="F17" s="244">
        <f t="shared" si="1"/>
        <v>0</v>
      </c>
      <c r="H17" s="257"/>
    </row>
    <row r="18" spans="1:8" s="256" customFormat="1" ht="24" customHeight="1">
      <c r="A18" s="81" t="s">
        <v>219</v>
      </c>
      <c r="B18" s="85">
        <f t="shared" si="2"/>
        <v>2597.1838399789449</v>
      </c>
      <c r="C18" s="244">
        <f t="shared" si="1"/>
        <v>1342.2818791946308</v>
      </c>
      <c r="D18" s="244">
        <f t="shared" si="1"/>
        <v>666.66666666666663</v>
      </c>
      <c r="E18" s="244">
        <f t="shared" si="1"/>
        <v>0</v>
      </c>
      <c r="F18" s="244">
        <f t="shared" si="1"/>
        <v>588.23529411764707</v>
      </c>
    </row>
    <row r="19" spans="1:8" s="256" customFormat="1" ht="24" customHeight="1">
      <c r="A19" s="81" t="s">
        <v>220</v>
      </c>
      <c r="B19" s="85">
        <f t="shared" si="2"/>
        <v>40956.732372986655</v>
      </c>
      <c r="C19" s="244">
        <f t="shared" si="1"/>
        <v>17449.664429530203</v>
      </c>
      <c r="D19" s="244">
        <f t="shared" si="1"/>
        <v>5333.333333333333</v>
      </c>
      <c r="E19" s="244">
        <f t="shared" si="1"/>
        <v>5232.5581395348836</v>
      </c>
      <c r="F19" s="244">
        <f t="shared" si="1"/>
        <v>12941.176470588236</v>
      </c>
      <c r="H19" s="257"/>
    </row>
    <row r="20" spans="1:8" s="256" customFormat="1" ht="24" customHeight="1">
      <c r="A20" s="81" t="s">
        <v>221</v>
      </c>
      <c r="B20" s="85">
        <f t="shared" si="2"/>
        <v>62833.812282521874</v>
      </c>
      <c r="C20" s="244">
        <f t="shared" si="1"/>
        <v>19463.087248322146</v>
      </c>
      <c r="D20" s="244">
        <f t="shared" si="1"/>
        <v>4000</v>
      </c>
      <c r="E20" s="244">
        <f t="shared" si="1"/>
        <v>3488.3720930232557</v>
      </c>
      <c r="F20" s="244">
        <f t="shared" si="1"/>
        <v>35882.352941176468</v>
      </c>
      <c r="H20" s="257"/>
    </row>
    <row r="21" spans="1:8" s="256" customFormat="1" ht="24" customHeight="1">
      <c r="A21" s="81" t="s">
        <v>222</v>
      </c>
      <c r="B21" s="85">
        <f t="shared" si="2"/>
        <v>0</v>
      </c>
      <c r="C21" s="244">
        <f t="shared" si="1"/>
        <v>0</v>
      </c>
      <c r="D21" s="244">
        <f t="shared" si="1"/>
        <v>0</v>
      </c>
      <c r="E21" s="244">
        <f t="shared" si="1"/>
        <v>0</v>
      </c>
      <c r="F21" s="244">
        <f t="shared" si="1"/>
        <v>0</v>
      </c>
    </row>
    <row r="22" spans="1:8" s="256" customFormat="1" ht="24" customHeight="1">
      <c r="A22" s="81" t="s">
        <v>223</v>
      </c>
      <c r="B22" s="85">
        <f t="shared" si="2"/>
        <v>18010.543002904298</v>
      </c>
      <c r="C22" s="244">
        <f t="shared" si="1"/>
        <v>6711.4093959731545</v>
      </c>
      <c r="D22" s="244">
        <f t="shared" si="1"/>
        <v>1333.3333333333333</v>
      </c>
      <c r="E22" s="244">
        <f t="shared" si="1"/>
        <v>2906.9767441860467</v>
      </c>
      <c r="F22" s="244">
        <f t="shared" si="1"/>
        <v>7058.8235294117649</v>
      </c>
      <c r="H22" s="257"/>
    </row>
    <row r="23" spans="1:8" s="256" customFormat="1" ht="24" customHeight="1">
      <c r="A23" s="141" t="s">
        <v>224</v>
      </c>
      <c r="B23" s="85">
        <f t="shared" si="2"/>
        <v>3861.0343466245558</v>
      </c>
      <c r="C23" s="244">
        <f t="shared" si="1"/>
        <v>2684.5637583892617</v>
      </c>
      <c r="D23" s="244">
        <f t="shared" si="1"/>
        <v>0</v>
      </c>
      <c r="E23" s="244">
        <f t="shared" si="1"/>
        <v>0</v>
      </c>
      <c r="F23" s="244">
        <f t="shared" si="1"/>
        <v>1176.4705882352941</v>
      </c>
    </row>
    <row r="24" spans="1:8" s="256" customFormat="1" ht="24" customHeight="1" thickBot="1">
      <c r="A24" s="87" t="s">
        <v>225</v>
      </c>
      <c r="B24" s="86">
        <f t="shared" si="2"/>
        <v>25174.101855507302</v>
      </c>
      <c r="C24" s="244">
        <f t="shared" si="1"/>
        <v>11409.395973154362</v>
      </c>
      <c r="D24" s="244">
        <f t="shared" si="1"/>
        <v>2000</v>
      </c>
      <c r="E24" s="244">
        <f t="shared" si="1"/>
        <v>0</v>
      </c>
      <c r="F24" s="244">
        <f t="shared" si="1"/>
        <v>11764.705882352942</v>
      </c>
    </row>
    <row r="25" spans="1:8" ht="21" customHeight="1">
      <c r="A25" s="258"/>
      <c r="B25" s="258"/>
      <c r="C25" s="348">
        <f t="shared" si="1"/>
        <v>4026.8456375838928</v>
      </c>
      <c r="D25" s="348">
        <f t="shared" si="1"/>
        <v>800</v>
      </c>
      <c r="E25" s="348">
        <f t="shared" si="1"/>
        <v>8139.5348837209303</v>
      </c>
      <c r="F25" s="348">
        <f t="shared" si="1"/>
        <v>1764.7058823529412</v>
      </c>
    </row>
    <row r="26" spans="1:8">
      <c r="C26" s="349"/>
      <c r="D26" s="349"/>
      <c r="E26" s="349"/>
      <c r="F26" s="349"/>
    </row>
    <row r="27" spans="1:8">
      <c r="D27" s="260"/>
    </row>
  </sheetData>
  <phoneticPr fontId="4" type="noConversion"/>
  <pageMargins left="0.7" right="0.7" top="0.75" bottom="0.75" header="0.3" footer="0.3"/>
  <pageSetup paperSize="9" scale="91" fitToWidth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I16"/>
  <sheetViews>
    <sheetView workbookViewId="0">
      <selection activeCell="S22" sqref="S22"/>
    </sheetView>
  </sheetViews>
  <sheetFormatPr defaultColWidth="6.44140625" defaultRowHeight="14.4"/>
  <cols>
    <col min="1" max="2" width="7.109375" customWidth="1"/>
    <col min="3" max="3" width="9" customWidth="1"/>
    <col min="4" max="4" width="11" customWidth="1"/>
    <col min="9" max="9" width="9.44140625" bestFit="1" customWidth="1"/>
    <col min="11" max="11" width="6.44140625" style="362"/>
    <col min="16" max="16" width="9" bestFit="1" customWidth="1"/>
    <col min="29" max="29" width="10.44140625" bestFit="1" customWidth="1"/>
    <col min="30" max="30" width="7.77734375" bestFit="1" customWidth="1"/>
  </cols>
  <sheetData>
    <row r="1" spans="1:35">
      <c r="A1" s="399" t="s">
        <v>356</v>
      </c>
      <c r="B1" s="399"/>
      <c r="C1" s="399"/>
      <c r="D1" s="399"/>
      <c r="F1" s="400" t="s">
        <v>383</v>
      </c>
      <c r="G1" s="382"/>
      <c r="H1" s="382"/>
      <c r="I1" s="382"/>
      <c r="J1" s="382"/>
      <c r="K1" s="358"/>
      <c r="L1" s="400" t="s">
        <v>375</v>
      </c>
      <c r="M1" s="400"/>
      <c r="N1" s="400"/>
      <c r="O1" s="400"/>
      <c r="P1" s="381" t="s">
        <v>412</v>
      </c>
      <c r="S1" t="s">
        <v>386</v>
      </c>
      <c r="AB1" s="377" t="s">
        <v>397</v>
      </c>
      <c r="AD1" s="379" t="s">
        <v>398</v>
      </c>
      <c r="AE1" s="378" t="s">
        <v>395</v>
      </c>
      <c r="AF1" s="378" t="s">
        <v>396</v>
      </c>
      <c r="AG1" s="378" t="s">
        <v>399</v>
      </c>
      <c r="AH1" s="378" t="s">
        <v>400</v>
      </c>
    </row>
    <row r="2" spans="1:35">
      <c r="A2" s="25" t="s">
        <v>360</v>
      </c>
      <c r="B2" s="25" t="s">
        <v>357</v>
      </c>
      <c r="C2" s="360" t="s">
        <v>361</v>
      </c>
      <c r="D2" s="25" t="s">
        <v>363</v>
      </c>
      <c r="F2" s="25" t="s">
        <v>394</v>
      </c>
      <c r="G2" s="358" t="s">
        <v>377</v>
      </c>
      <c r="H2" s="357" t="s">
        <v>0</v>
      </c>
      <c r="I2" s="358" t="s">
        <v>376</v>
      </c>
      <c r="J2" s="358" t="s">
        <v>381</v>
      </c>
      <c r="K2" s="364"/>
      <c r="L2" s="25" t="s">
        <v>410</v>
      </c>
      <c r="M2" s="25" t="s">
        <v>411</v>
      </c>
      <c r="N2" s="25" t="s">
        <v>372</v>
      </c>
      <c r="O2" s="25"/>
      <c r="P2" s="25" t="s">
        <v>43</v>
      </c>
      <c r="Q2" s="25" t="s">
        <v>382</v>
      </c>
      <c r="R2" s="363"/>
      <c r="S2" s="363" t="s">
        <v>387</v>
      </c>
      <c r="T2" s="363" t="s">
        <v>388</v>
      </c>
      <c r="U2" s="363" t="s">
        <v>389</v>
      </c>
      <c r="V2" s="363"/>
      <c r="AB2" s="376"/>
      <c r="AD2">
        <v>5</v>
      </c>
      <c r="AE2">
        <v>3</v>
      </c>
      <c r="AF2">
        <v>3</v>
      </c>
      <c r="AG2">
        <v>6</v>
      </c>
      <c r="AH2">
        <v>-0.19178082191780277</v>
      </c>
      <c r="AI2">
        <v>223.5625</v>
      </c>
    </row>
    <row r="3" spans="1:35">
      <c r="A3" s="351">
        <v>1</v>
      </c>
      <c r="B3" s="25" t="s">
        <v>358</v>
      </c>
      <c r="C3" s="360">
        <v>2</v>
      </c>
      <c r="D3">
        <v>1</v>
      </c>
      <c r="F3">
        <v>1</v>
      </c>
      <c r="G3" s="367" t="s">
        <v>378</v>
      </c>
      <c r="H3" s="26"/>
      <c r="I3" s="365">
        <v>10498160</v>
      </c>
      <c r="J3" s="365">
        <v>0.745</v>
      </c>
      <c r="L3" s="25" t="s">
        <v>43</v>
      </c>
      <c r="M3" s="25">
        <v>0</v>
      </c>
      <c r="N3" s="25" t="s">
        <v>409</v>
      </c>
      <c r="P3" s="25"/>
      <c r="R3" s="363"/>
      <c r="S3" s="363" t="s">
        <v>390</v>
      </c>
      <c r="T3" s="363">
        <v>1000</v>
      </c>
      <c r="U3" s="363">
        <v>1162.7906783327278</v>
      </c>
      <c r="V3" s="363"/>
    </row>
    <row r="4" spans="1:35">
      <c r="A4" s="351">
        <v>2</v>
      </c>
      <c r="B4" s="25" t="s">
        <v>359</v>
      </c>
      <c r="C4" s="359">
        <v>3</v>
      </c>
      <c r="D4">
        <v>3</v>
      </c>
      <c r="F4">
        <v>2</v>
      </c>
      <c r="G4" s="25" t="s">
        <v>379</v>
      </c>
      <c r="H4" s="24"/>
      <c r="I4" s="366">
        <v>15773696</v>
      </c>
      <c r="J4" s="351">
        <v>0.75</v>
      </c>
      <c r="L4" s="25" t="s">
        <v>43</v>
      </c>
      <c r="M4" s="25">
        <v>0</v>
      </c>
      <c r="N4" s="25" t="s">
        <v>373</v>
      </c>
      <c r="P4" s="25"/>
      <c r="R4" s="363"/>
      <c r="S4" s="363" t="s">
        <v>43</v>
      </c>
      <c r="T4" s="363">
        <v>1000</v>
      </c>
      <c r="U4" s="363">
        <v>1176.4705552361838</v>
      </c>
      <c r="V4" s="363"/>
    </row>
    <row r="5" spans="1:35">
      <c r="A5" s="351">
        <v>3</v>
      </c>
      <c r="B5" s="25" t="s">
        <v>403</v>
      </c>
      <c r="C5" s="359">
        <v>4</v>
      </c>
      <c r="D5">
        <v>1</v>
      </c>
      <c r="F5" s="361">
        <v>3</v>
      </c>
      <c r="G5" s="25" t="s">
        <v>380</v>
      </c>
      <c r="H5" s="27"/>
      <c r="I5" s="366">
        <v>49407</v>
      </c>
      <c r="J5" s="351">
        <v>0.83499999999999996</v>
      </c>
      <c r="L5" s="25" t="s">
        <v>43</v>
      </c>
      <c r="M5" s="25">
        <v>0</v>
      </c>
      <c r="N5" s="25" t="s">
        <v>374</v>
      </c>
      <c r="P5" s="25"/>
      <c r="R5" s="363"/>
      <c r="S5" s="363" t="s">
        <v>277</v>
      </c>
      <c r="T5" s="363">
        <v>1000</v>
      </c>
      <c r="U5" s="363">
        <v>1342.2818706033574</v>
      </c>
      <c r="V5" s="363"/>
      <c r="W5" s="363"/>
    </row>
    <row r="6" spans="1:35">
      <c r="A6" s="351">
        <v>4</v>
      </c>
      <c r="B6" s="25" t="s">
        <v>362</v>
      </c>
      <c r="C6" s="359">
        <v>6</v>
      </c>
      <c r="D6">
        <v>2</v>
      </c>
      <c r="F6" s="361">
        <v>4</v>
      </c>
      <c r="G6" s="25" t="s">
        <v>413</v>
      </c>
      <c r="H6" s="28"/>
      <c r="I6" s="366">
        <v>5296274</v>
      </c>
      <c r="J6">
        <v>0.85</v>
      </c>
      <c r="R6" s="363"/>
      <c r="S6" s="363" t="s">
        <v>293</v>
      </c>
      <c r="T6" s="363">
        <v>1000</v>
      </c>
      <c r="U6" s="363">
        <v>1333.3333333333333</v>
      </c>
      <c r="V6" s="363"/>
      <c r="W6" s="363"/>
    </row>
    <row r="7" spans="1:35">
      <c r="A7" s="351">
        <v>5</v>
      </c>
      <c r="B7" s="25" t="s">
        <v>364</v>
      </c>
      <c r="C7" s="359">
        <v>-1</v>
      </c>
      <c r="D7">
        <v>3</v>
      </c>
      <c r="R7" s="363"/>
      <c r="S7" s="363"/>
      <c r="T7" s="363"/>
      <c r="U7" s="363"/>
      <c r="V7" s="363"/>
      <c r="W7" s="363"/>
    </row>
    <row r="8" spans="1:35">
      <c r="A8" s="351">
        <v>6</v>
      </c>
      <c r="B8" s="25" t="s">
        <v>365</v>
      </c>
      <c r="C8" s="360" t="s">
        <v>370</v>
      </c>
      <c r="D8">
        <v>4</v>
      </c>
      <c r="P8" s="363"/>
      <c r="Q8" s="363"/>
      <c r="R8" s="363"/>
      <c r="S8" s="363"/>
      <c r="T8" s="363"/>
      <c r="U8" s="363"/>
      <c r="V8" s="363"/>
      <c r="W8" s="363"/>
    </row>
    <row r="9" spans="1:35">
      <c r="A9" s="351">
        <v>7</v>
      </c>
      <c r="B9" s="25" t="s">
        <v>366</v>
      </c>
      <c r="C9" s="359">
        <v>8</v>
      </c>
      <c r="D9">
        <v>5</v>
      </c>
      <c r="P9" s="363"/>
      <c r="Q9" s="363"/>
      <c r="R9" s="363"/>
      <c r="S9" s="363"/>
      <c r="T9" s="363"/>
      <c r="U9" s="363"/>
      <c r="V9" s="363"/>
      <c r="W9" s="363"/>
    </row>
    <row r="10" spans="1:35">
      <c r="A10" s="351">
        <v>8</v>
      </c>
      <c r="B10" s="25" t="s">
        <v>367</v>
      </c>
      <c r="C10" s="359">
        <v>9</v>
      </c>
      <c r="D10">
        <v>6</v>
      </c>
      <c r="P10" s="363"/>
      <c r="Q10" s="363"/>
      <c r="R10" s="363"/>
      <c r="S10" s="363"/>
      <c r="T10" s="363"/>
      <c r="U10" s="363"/>
      <c r="V10" s="363"/>
      <c r="W10" s="363"/>
    </row>
    <row r="11" spans="1:35">
      <c r="A11" s="351">
        <v>9</v>
      </c>
      <c r="B11" s="25" t="s">
        <v>368</v>
      </c>
      <c r="C11" s="359">
        <v>-1</v>
      </c>
      <c r="P11" s="363"/>
      <c r="Q11" s="363"/>
      <c r="R11" s="363"/>
      <c r="S11" s="363"/>
      <c r="T11" s="363"/>
      <c r="U11" s="363"/>
      <c r="V11" s="363"/>
      <c r="W11" s="363"/>
    </row>
    <row r="12" spans="1:35">
      <c r="A12" s="351">
        <v>10</v>
      </c>
      <c r="B12" s="25" t="s">
        <v>369</v>
      </c>
      <c r="C12" s="359">
        <v>-1</v>
      </c>
      <c r="D12">
        <v>55</v>
      </c>
      <c r="P12" s="363"/>
      <c r="Q12" s="363"/>
      <c r="R12" s="363"/>
      <c r="S12" s="363"/>
      <c r="T12" s="363"/>
      <c r="U12" s="363"/>
      <c r="V12" s="363"/>
      <c r="W12" s="363"/>
    </row>
    <row r="13" spans="1:35">
      <c r="A13" s="363"/>
      <c r="B13" s="363"/>
      <c r="C13" s="363"/>
      <c r="D13" s="363"/>
      <c r="P13" s="363"/>
      <c r="Q13" s="363"/>
      <c r="R13" s="363"/>
      <c r="S13" s="363"/>
      <c r="T13" s="363"/>
      <c r="U13" s="363"/>
      <c r="V13" s="363"/>
      <c r="W13" s="363"/>
    </row>
    <row r="14" spans="1:35">
      <c r="A14" s="363"/>
      <c r="B14" s="363"/>
      <c r="C14" s="363"/>
      <c r="D14" s="363"/>
      <c r="P14" s="363"/>
      <c r="Q14" s="363"/>
      <c r="R14" s="363"/>
      <c r="S14" s="363"/>
      <c r="T14" s="363"/>
      <c r="U14" s="363"/>
      <c r="V14" s="363"/>
      <c r="W14" s="363"/>
    </row>
    <row r="15" spans="1:35">
      <c r="A15" s="363"/>
      <c r="B15" s="363"/>
      <c r="C15" s="363"/>
      <c r="D15" s="363"/>
      <c r="R15" s="363"/>
      <c r="S15" s="363"/>
      <c r="T15" s="363"/>
      <c r="U15" s="363"/>
      <c r="V15" s="363"/>
      <c r="W15" s="363"/>
    </row>
    <row r="16" spans="1:35">
      <c r="T16" s="363"/>
      <c r="U16" s="363"/>
      <c r="V16" s="363"/>
      <c r="W16" s="363"/>
    </row>
  </sheetData>
  <sortState ref="AD2:AI2">
    <sortCondition ref="AG2"/>
    <sortCondition ref="AH2"/>
    <sortCondition descending="1" ref="AD2"/>
  </sortState>
  <mergeCells count="3">
    <mergeCell ref="A1:D1"/>
    <mergeCell ref="L1:O1"/>
    <mergeCell ref="F1:J1"/>
  </mergeCells>
  <phoneticPr fontId="53" type="noConversion"/>
  <dataValidations count="3">
    <dataValidation type="list" allowBlank="1" showInputMessage="1" showErrorMessage="1" sqref="L3:L1048576 P2:P1048576">
      <formula1>$G$3:$G$6</formula1>
    </dataValidation>
    <dataValidation type="list" allowBlank="1" showInputMessage="1" showErrorMessage="1" sqref="N3:N1048576">
      <formula1>$B$3:$B$12</formula1>
    </dataValidation>
    <dataValidation type="list" allowBlank="1" showInputMessage="1" showErrorMessage="1" sqref="S3:S1048576">
      <formula1>$G$3:$G$8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_setInterface">
          <controlPr defaultSize="0" autoLine="0" r:id="rId5">
            <anchor moveWithCells="1">
              <from>
                <xdr:col>16</xdr:col>
                <xdr:colOff>0</xdr:colOff>
                <xdr:row>1</xdr:row>
                <xdr:rowOff>160020</xdr:rowOff>
              </from>
              <to>
                <xdr:col>17</xdr:col>
                <xdr:colOff>220980</xdr:colOff>
                <xdr:row>3</xdr:row>
                <xdr:rowOff>137160</xdr:rowOff>
              </to>
            </anchor>
          </controlPr>
        </control>
      </mc:Choice>
      <mc:Fallback>
        <control shapeId="25601" r:id="rId4" name="cmd_setInterface"/>
      </mc:Fallback>
    </mc:AlternateContent>
    <mc:AlternateContent xmlns:mc="http://schemas.openxmlformats.org/markup-compatibility/2006">
      <mc:Choice Requires="x14">
        <control shapeId="25604" r:id="rId6" name="cmdVolum">
          <controlPr defaultSize="0" autoLine="0" r:id="rId7">
            <anchor moveWithCells="1">
              <from>
                <xdr:col>21</xdr:col>
                <xdr:colOff>30480</xdr:colOff>
                <xdr:row>2</xdr:row>
                <xdr:rowOff>38100</xdr:rowOff>
              </from>
              <to>
                <xdr:col>22</xdr:col>
                <xdr:colOff>251460</xdr:colOff>
                <xdr:row>4</xdr:row>
                <xdr:rowOff>0</xdr:rowOff>
              </to>
            </anchor>
          </controlPr>
        </control>
      </mc:Choice>
      <mc:Fallback>
        <control shapeId="25604" r:id="rId6" name="cmdVolu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A82"/>
  <sheetViews>
    <sheetView showZeros="0" tabSelected="1" zoomScale="85" zoomScaleNormal="85" workbookViewId="0">
      <pane ySplit="3" topLeftCell="A4" activePane="bottomLeft" state="frozen"/>
      <selection activeCell="F30" sqref="F30"/>
      <selection pane="bottomLeft" activeCell="W15" sqref="W15"/>
    </sheetView>
  </sheetViews>
  <sheetFormatPr defaultColWidth="9" defaultRowHeight="14.4"/>
  <cols>
    <col min="1" max="1" width="5.21875" style="54" bestFit="1" customWidth="1"/>
    <col min="2" max="2" width="7.44140625" style="54" bestFit="1" customWidth="1"/>
    <col min="3" max="3" width="7.77734375" style="54" customWidth="1"/>
    <col min="4" max="4" width="8.44140625" style="95" customWidth="1"/>
    <col min="5" max="5" width="7" style="54" customWidth="1"/>
    <col min="6" max="6" width="5.21875" style="54" customWidth="1"/>
    <col min="7" max="7" width="7.44140625" style="54" customWidth="1"/>
    <col min="8" max="8" width="7.44140625" style="134" bestFit="1" customWidth="1"/>
    <col min="9" max="10" width="7.44140625" style="54" customWidth="1"/>
    <col min="11" max="11" width="6.77734375" style="54" customWidth="1"/>
    <col min="12" max="12" width="9.44140625" style="96" customWidth="1"/>
    <col min="13" max="13" width="6.6640625" style="54" customWidth="1"/>
    <col min="14" max="14" width="7.109375" style="54" customWidth="1"/>
    <col min="15" max="15" width="7.44140625" style="54" customWidth="1"/>
    <col min="16" max="16" width="7.44140625" style="54" bestFit="1" customWidth="1"/>
    <col min="17" max="17" width="7.109375" style="54" customWidth="1"/>
    <col min="18" max="18" width="7.44140625" style="54" bestFit="1" customWidth="1"/>
    <col min="19" max="19" width="5.44140625" style="54" customWidth="1"/>
    <col min="20" max="20" width="6.109375" style="54" customWidth="1"/>
    <col min="21" max="21" width="5.21875" style="54" customWidth="1"/>
    <col min="22" max="22" width="6.109375" style="54" customWidth="1"/>
    <col min="23" max="23" width="17.77734375" style="169" bestFit="1" customWidth="1"/>
    <col min="24" max="24" width="11.33203125" style="169" customWidth="1"/>
    <col min="25" max="25" width="13.21875" style="54" bestFit="1" customWidth="1"/>
    <col min="26" max="16384" width="9" style="54"/>
  </cols>
  <sheetData>
    <row r="1" spans="1:27" s="94" customFormat="1" ht="30.6">
      <c r="A1" s="56"/>
      <c r="B1" s="401" t="s">
        <v>392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368"/>
      <c r="Y1" s="56"/>
    </row>
    <row r="2" spans="1:27" s="94" customFormat="1" ht="16.5" customHeight="1" thickBot="1">
      <c r="A2" s="56"/>
      <c r="B2" s="270">
        <f>SUM(B13:B34)</f>
        <v>0</v>
      </c>
      <c r="C2" s="270"/>
      <c r="D2" s="117">
        <f>SUM(J31:J41)</f>
        <v>0</v>
      </c>
      <c r="E2" s="117">
        <v>0</v>
      </c>
      <c r="F2" s="56"/>
      <c r="G2" s="117">
        <f>SUM(G30:K37)</f>
        <v>0</v>
      </c>
      <c r="H2" s="303">
        <f>SUM(H34:H51)</f>
        <v>0</v>
      </c>
      <c r="I2" s="117">
        <f>SUM(I31:K49)</f>
        <v>0</v>
      </c>
      <c r="J2" s="117">
        <f>SUM(J36:K43)</f>
        <v>0</v>
      </c>
      <c r="K2" s="117">
        <f>SUM(K33:K47,K16)</f>
        <v>0</v>
      </c>
      <c r="L2" s="265">
        <f>SUM(B8:B70)</f>
        <v>1340</v>
      </c>
      <c r="M2" s="56"/>
      <c r="N2" s="56"/>
      <c r="O2" s="278"/>
      <c r="P2" s="56"/>
      <c r="Q2" s="56"/>
      <c r="R2" s="56"/>
      <c r="S2" s="117"/>
      <c r="T2" s="56"/>
      <c r="U2" s="278"/>
      <c r="V2" s="60"/>
      <c r="W2" s="167" t="s">
        <v>408</v>
      </c>
      <c r="X2" s="167"/>
      <c r="Y2" s="56"/>
    </row>
    <row r="3" spans="1:27" ht="29.4" thickBot="1">
      <c r="A3" s="91" t="s">
        <v>37</v>
      </c>
      <c r="B3" s="271" t="s">
        <v>36</v>
      </c>
      <c r="C3" s="272" t="s">
        <v>35</v>
      </c>
      <c r="D3" s="273" t="s">
        <v>273</v>
      </c>
      <c r="E3" s="272" t="s">
        <v>34</v>
      </c>
      <c r="F3" s="272" t="s">
        <v>27</v>
      </c>
      <c r="G3" s="272" t="s">
        <v>33</v>
      </c>
      <c r="H3" s="272" t="s">
        <v>272</v>
      </c>
      <c r="I3" s="273" t="s">
        <v>26</v>
      </c>
      <c r="J3" s="272" t="s">
        <v>25</v>
      </c>
      <c r="K3" s="272" t="s">
        <v>230</v>
      </c>
      <c r="L3" s="276" t="s">
        <v>32</v>
      </c>
      <c r="M3" s="279" t="s">
        <v>31</v>
      </c>
      <c r="N3" s="273" t="s">
        <v>30</v>
      </c>
      <c r="O3" s="273" t="s">
        <v>29</v>
      </c>
      <c r="P3" s="273" t="s">
        <v>28</v>
      </c>
      <c r="Q3" s="280" t="s">
        <v>27</v>
      </c>
      <c r="R3" s="273" t="s">
        <v>7</v>
      </c>
      <c r="S3" s="273" t="s">
        <v>4</v>
      </c>
      <c r="T3" s="273" t="s">
        <v>26</v>
      </c>
      <c r="U3" s="171" t="s">
        <v>25</v>
      </c>
      <c r="V3" s="281" t="s">
        <v>24</v>
      </c>
      <c r="W3" s="283" t="s">
        <v>391</v>
      </c>
      <c r="X3" s="283" t="s">
        <v>393</v>
      </c>
      <c r="Y3" s="282" t="s">
        <v>72</v>
      </c>
      <c r="Z3"/>
      <c r="AA3"/>
    </row>
    <row r="4" spans="1:27" ht="14.25" customHeight="1">
      <c r="A4" s="79"/>
      <c r="B4" s="144">
        <v>3</v>
      </c>
      <c r="C4" s="122">
        <f t="shared" ref="C4:K20" si="0">$B4/$M4*N4</f>
        <v>0</v>
      </c>
      <c r="D4" s="350">
        <f t="shared" si="0"/>
        <v>9.0945625483926373E-2</v>
      </c>
      <c r="E4" s="242">
        <f t="shared" si="0"/>
        <v>0.70323635161548925</v>
      </c>
      <c r="F4" s="88">
        <f t="shared" si="0"/>
        <v>0</v>
      </c>
      <c r="G4" s="242">
        <f t="shared" si="0"/>
        <v>1.004623359450699</v>
      </c>
      <c r="H4" s="88">
        <f t="shared" si="0"/>
        <v>0.56928657035539609</v>
      </c>
      <c r="I4" s="331">
        <f t="shared" si="0"/>
        <v>0</v>
      </c>
      <c r="J4" s="88">
        <f t="shared" si="0"/>
        <v>0</v>
      </c>
      <c r="K4" s="331">
        <f t="shared" si="0"/>
        <v>0.6319080930944897</v>
      </c>
      <c r="L4" s="277">
        <f t="shared" ref="L4:L47" si="1">B4/M4</f>
        <v>2.8464328517769804E-3</v>
      </c>
      <c r="M4" s="89">
        <f t="shared" ref="M4:M47" si="2">SUM(N4:V4)</f>
        <v>1053.9507363144542</v>
      </c>
      <c r="N4" s="55"/>
      <c r="O4" s="55">
        <v>31.950736314454261</v>
      </c>
      <c r="P4" s="55">
        <v>247.05882352941174</v>
      </c>
      <c r="Q4" s="55">
        <v>0</v>
      </c>
      <c r="R4" s="55">
        <v>352.94117647058823</v>
      </c>
      <c r="S4" s="55">
        <v>200</v>
      </c>
      <c r="T4" s="55"/>
      <c r="U4" s="55"/>
      <c r="V4" s="123">
        <v>222</v>
      </c>
      <c r="W4" s="168"/>
      <c r="X4" s="369"/>
      <c r="Y4" s="172">
        <v>42904.833333333336</v>
      </c>
      <c r="Z4" t="s">
        <v>404</v>
      </c>
      <c r="AA4"/>
    </row>
    <row r="5" spans="1:27" ht="14.25" customHeight="1">
      <c r="A5" s="380"/>
      <c r="B5" s="144">
        <v>224</v>
      </c>
      <c r="C5" s="122"/>
      <c r="D5" s="122">
        <f t="shared" si="0"/>
        <v>0.87671232876712324</v>
      </c>
      <c r="E5" s="242">
        <f t="shared" ref="E5:K5" si="3">$B5/$M5*P5</f>
        <v>1.7534246575342465</v>
      </c>
      <c r="F5" s="88">
        <f t="shared" si="3"/>
        <v>3.506849315068493</v>
      </c>
      <c r="G5" s="242">
        <f t="shared" si="3"/>
        <v>7.0136986301369859</v>
      </c>
      <c r="H5" s="88">
        <f t="shared" si="3"/>
        <v>14.027397260273972</v>
      </c>
      <c r="I5" s="331">
        <f t="shared" si="3"/>
        <v>28.054794520547944</v>
      </c>
      <c r="J5" s="88">
        <f t="shared" si="3"/>
        <v>56.109589041095887</v>
      </c>
      <c r="K5" s="331">
        <f t="shared" si="3"/>
        <v>112.21917808219177</v>
      </c>
      <c r="L5" s="277">
        <f t="shared" si="1"/>
        <v>0.43835616438356162</v>
      </c>
      <c r="M5" s="89">
        <f t="shared" si="2"/>
        <v>511</v>
      </c>
      <c r="N5" s="55">
        <v>1</v>
      </c>
      <c r="O5" s="55">
        <v>2</v>
      </c>
      <c r="P5" s="55">
        <v>4</v>
      </c>
      <c r="Q5" s="55">
        <v>8</v>
      </c>
      <c r="R5" s="55">
        <v>16</v>
      </c>
      <c r="S5" s="55">
        <v>32</v>
      </c>
      <c r="T5" s="55">
        <v>64</v>
      </c>
      <c r="U5" s="55">
        <v>128</v>
      </c>
      <c r="V5" s="123">
        <v>256</v>
      </c>
      <c r="W5" s="168"/>
      <c r="X5" s="369"/>
      <c r="Y5" s="172">
        <f t="shared" ref="Y5:Y36" si="4">L4/24+Y4</f>
        <v>42904.833451934704</v>
      </c>
      <c r="Z5" s="25" t="s">
        <v>407</v>
      </c>
      <c r="AA5" s="269"/>
    </row>
    <row r="6" spans="1:27" ht="15.6">
      <c r="A6" s="380"/>
      <c r="B6" s="144">
        <v>935</v>
      </c>
      <c r="C6" s="122"/>
      <c r="D6" s="122">
        <f t="shared" si="0"/>
        <v>0</v>
      </c>
      <c r="E6" s="242">
        <f t="shared" ref="E6:K8" si="5">$B6/$M6*P6</f>
        <v>384.99999999999994</v>
      </c>
      <c r="F6" s="133">
        <f t="shared" si="5"/>
        <v>0</v>
      </c>
      <c r="G6" s="242">
        <f t="shared" si="5"/>
        <v>550</v>
      </c>
      <c r="H6" s="88">
        <f t="shared" si="5"/>
        <v>0</v>
      </c>
      <c r="I6" s="331">
        <f t="shared" si="5"/>
        <v>0</v>
      </c>
      <c r="J6" s="88">
        <f t="shared" si="5"/>
        <v>0</v>
      </c>
      <c r="K6" s="88">
        <f t="shared" si="5"/>
        <v>0</v>
      </c>
      <c r="L6" s="131">
        <f>B6/M6</f>
        <v>1.5583333333333333</v>
      </c>
      <c r="M6" s="89">
        <f t="shared" si="2"/>
        <v>600</v>
      </c>
      <c r="N6" s="55"/>
      <c r="O6" s="55"/>
      <c r="P6" s="55">
        <v>247.05882352941174</v>
      </c>
      <c r="Q6" s="55">
        <v>0</v>
      </c>
      <c r="R6" s="55">
        <v>352.94117647058823</v>
      </c>
      <c r="S6" s="55">
        <v>0</v>
      </c>
      <c r="T6" s="55"/>
      <c r="U6" s="55"/>
      <c r="V6" s="123"/>
      <c r="W6" s="170"/>
      <c r="X6" s="370"/>
      <c r="Y6" s="172">
        <f t="shared" si="4"/>
        <v>42904.851716774887</v>
      </c>
      <c r="Z6" s="261" t="s">
        <v>405</v>
      </c>
      <c r="AA6" s="261"/>
    </row>
    <row r="7" spans="1:27" ht="15.6">
      <c r="A7" s="380"/>
      <c r="B7" s="144">
        <v>3</v>
      </c>
      <c r="C7" s="122"/>
      <c r="D7" s="122">
        <f t="shared" si="0"/>
        <v>0</v>
      </c>
      <c r="E7" s="336">
        <f t="shared" ref="E7" si="6">$B7/$M7*P7</f>
        <v>1.35</v>
      </c>
      <c r="F7" s="133">
        <f t="shared" ref="F7" si="7">$B7/$M7*Q7</f>
        <v>0</v>
      </c>
      <c r="G7" s="242">
        <f t="shared" ref="G7" si="8">$B7/$M7*R7</f>
        <v>1.6500000000000001</v>
      </c>
      <c r="H7" s="88">
        <f t="shared" ref="H7" si="9">$B7/$M7*S7</f>
        <v>0</v>
      </c>
      <c r="I7" s="331">
        <f t="shared" ref="I7" si="10">$B7/$M7*T7</f>
        <v>0</v>
      </c>
      <c r="J7" s="88"/>
      <c r="K7" s="88">
        <f t="shared" ref="K7" si="11">$B7/$M7*V7</f>
        <v>0</v>
      </c>
      <c r="L7" s="131">
        <f>B7/M7</f>
        <v>4.8387096774193551E-3</v>
      </c>
      <c r="M7" s="89">
        <f t="shared" ref="M7" si="12">SUM(N7:V7)</f>
        <v>620</v>
      </c>
      <c r="N7" s="55"/>
      <c r="O7" s="55"/>
      <c r="P7" s="55">
        <v>279</v>
      </c>
      <c r="Q7" s="55">
        <v>0</v>
      </c>
      <c r="R7" s="55">
        <v>341</v>
      </c>
      <c r="S7" s="55">
        <v>0</v>
      </c>
      <c r="T7" s="55"/>
      <c r="U7" s="55"/>
      <c r="V7" s="123"/>
      <c r="W7" s="170"/>
      <c r="X7" s="370"/>
      <c r="Y7" s="172">
        <f t="shared" si="4"/>
        <v>42904.916647330443</v>
      </c>
      <c r="Z7" s="328" t="s">
        <v>406</v>
      </c>
      <c r="AA7" s="328"/>
    </row>
    <row r="8" spans="1:27" ht="15.6">
      <c r="A8" s="380"/>
      <c r="B8" s="144">
        <v>2</v>
      </c>
      <c r="C8" s="122"/>
      <c r="D8" s="122">
        <f t="shared" si="0"/>
        <v>0</v>
      </c>
      <c r="E8" s="336">
        <f t="shared" si="5"/>
        <v>0.9</v>
      </c>
      <c r="F8" s="133">
        <f t="shared" si="5"/>
        <v>0</v>
      </c>
      <c r="G8" s="242">
        <f t="shared" si="5"/>
        <v>1.1000000000000001</v>
      </c>
      <c r="H8" s="88">
        <f t="shared" si="5"/>
        <v>0</v>
      </c>
      <c r="I8" s="88">
        <f t="shared" si="5"/>
        <v>0</v>
      </c>
      <c r="J8" s="88">
        <f t="shared" si="5"/>
        <v>0</v>
      </c>
      <c r="K8" s="88">
        <f t="shared" si="5"/>
        <v>0</v>
      </c>
      <c r="L8" s="131">
        <f>B8/M8</f>
        <v>3.2258064516129032E-3</v>
      </c>
      <c r="M8" s="89">
        <f t="shared" si="2"/>
        <v>620</v>
      </c>
      <c r="N8" s="55"/>
      <c r="O8" s="55"/>
      <c r="P8" s="55">
        <v>279</v>
      </c>
      <c r="Q8" s="55">
        <v>0</v>
      </c>
      <c r="R8" s="55">
        <v>341</v>
      </c>
      <c r="S8" s="55">
        <v>0</v>
      </c>
      <c r="T8" s="55"/>
      <c r="U8" s="55"/>
      <c r="V8" s="123"/>
      <c r="W8" s="170"/>
      <c r="X8" s="370"/>
      <c r="Y8" s="172">
        <f t="shared" si="4"/>
        <v>42904.916848943343</v>
      </c>
      <c r="Z8" t="s">
        <v>401</v>
      </c>
      <c r="AA8"/>
    </row>
    <row r="9" spans="1:27" ht="15.6">
      <c r="A9" s="380"/>
      <c r="B9" s="335">
        <v>1338</v>
      </c>
      <c r="C9" s="122"/>
      <c r="D9" s="122">
        <f t="shared" ref="D9" si="13">$B9/$M9*O9</f>
        <v>0</v>
      </c>
      <c r="E9" s="336">
        <f t="shared" ref="E9" si="14">$B9/$M9*P9</f>
        <v>602.1</v>
      </c>
      <c r="F9" s="133">
        <f t="shared" ref="F9" si="15">$B9/$M9*Q9</f>
        <v>0</v>
      </c>
      <c r="G9" s="242">
        <f t="shared" ref="G9" si="16">$B9/$M9*R9</f>
        <v>401.4</v>
      </c>
      <c r="H9" s="88">
        <f t="shared" ref="H9" si="17">$B9/$M9*S9</f>
        <v>0</v>
      </c>
      <c r="I9" s="88">
        <f t="shared" ref="I9" si="18">$B9/$M9*T9</f>
        <v>0</v>
      </c>
      <c r="J9" s="242">
        <f t="shared" ref="J9" si="19">$B9/$M9*U9</f>
        <v>111.5</v>
      </c>
      <c r="K9" s="242">
        <f t="shared" ref="K9" si="20">$B9/$M9*V9</f>
        <v>223</v>
      </c>
      <c r="L9" s="131">
        <f>B9/M9</f>
        <v>2.23</v>
      </c>
      <c r="M9" s="89">
        <f t="shared" ref="M9" si="21">SUM(N9:V9)</f>
        <v>600</v>
      </c>
      <c r="N9" s="55"/>
      <c r="O9" s="55"/>
      <c r="P9" s="55">
        <v>270</v>
      </c>
      <c r="Q9" s="55">
        <v>0</v>
      </c>
      <c r="R9" s="55">
        <v>180</v>
      </c>
      <c r="S9" s="55">
        <v>0</v>
      </c>
      <c r="T9" s="55"/>
      <c r="U9" s="55">
        <v>50</v>
      </c>
      <c r="V9" s="123">
        <v>100</v>
      </c>
      <c r="W9" s="170"/>
      <c r="X9" s="370"/>
      <c r="Y9" s="172">
        <f t="shared" si="4"/>
        <v>42904.916983351948</v>
      </c>
      <c r="Z9" s="344" t="s">
        <v>402</v>
      </c>
      <c r="AA9" s="344"/>
    </row>
    <row r="10" spans="1:27" ht="15.6">
      <c r="A10" s="79"/>
      <c r="B10" s="335"/>
      <c r="C10" s="122"/>
      <c r="D10" s="122">
        <f t="shared" si="0"/>
        <v>0</v>
      </c>
      <c r="E10" s="242">
        <f t="shared" ref="E10:K11" si="22">$B10/$M10*P10</f>
        <v>0</v>
      </c>
      <c r="F10" s="133">
        <f t="shared" si="22"/>
        <v>0</v>
      </c>
      <c r="G10" s="242">
        <f t="shared" si="22"/>
        <v>0</v>
      </c>
      <c r="H10" s="88">
        <f t="shared" si="22"/>
        <v>0</v>
      </c>
      <c r="I10" s="88">
        <f t="shared" si="22"/>
        <v>0</v>
      </c>
      <c r="J10" s="242">
        <f t="shared" si="22"/>
        <v>0</v>
      </c>
      <c r="K10" s="242">
        <f t="shared" si="22"/>
        <v>0</v>
      </c>
      <c r="L10" s="131">
        <f t="shared" si="1"/>
        <v>0</v>
      </c>
      <c r="M10" s="89">
        <f t="shared" si="2"/>
        <v>563.75</v>
      </c>
      <c r="N10" s="55"/>
      <c r="O10" s="55"/>
      <c r="P10" s="55">
        <v>151.25</v>
      </c>
      <c r="Q10" s="55">
        <v>0</v>
      </c>
      <c r="R10" s="55">
        <v>225</v>
      </c>
      <c r="S10" s="55">
        <v>0</v>
      </c>
      <c r="T10" s="55"/>
      <c r="U10" s="55">
        <v>62.5</v>
      </c>
      <c r="V10" s="123">
        <v>125</v>
      </c>
      <c r="W10" s="170"/>
      <c r="X10" s="370"/>
      <c r="Y10" s="172">
        <f t="shared" si="4"/>
        <v>42905.009900018616</v>
      </c>
      <c r="Z10" s="306"/>
      <c r="AA10" s="306"/>
    </row>
    <row r="11" spans="1:27" ht="15.6">
      <c r="A11" s="79"/>
      <c r="B11" s="335"/>
      <c r="C11" s="122"/>
      <c r="D11" s="122">
        <f t="shared" si="0"/>
        <v>0</v>
      </c>
      <c r="E11" s="352">
        <f t="shared" si="22"/>
        <v>0</v>
      </c>
      <c r="F11" s="133">
        <f t="shared" si="22"/>
        <v>0</v>
      </c>
      <c r="G11" s="242">
        <f t="shared" si="22"/>
        <v>0</v>
      </c>
      <c r="H11" s="88">
        <f t="shared" si="22"/>
        <v>0</v>
      </c>
      <c r="I11" s="88">
        <f t="shared" si="22"/>
        <v>0</v>
      </c>
      <c r="J11" s="242">
        <f t="shared" si="22"/>
        <v>0</v>
      </c>
      <c r="K11" s="242">
        <f t="shared" si="22"/>
        <v>0</v>
      </c>
      <c r="L11" s="131">
        <f t="shared" si="1"/>
        <v>0</v>
      </c>
      <c r="M11" s="89">
        <f t="shared" si="2"/>
        <v>563.75</v>
      </c>
      <c r="N11" s="55"/>
      <c r="O11" s="55"/>
      <c r="P11" s="55">
        <v>151.25</v>
      </c>
      <c r="Q11" s="55">
        <v>0</v>
      </c>
      <c r="R11" s="55">
        <v>225</v>
      </c>
      <c r="S11" s="55">
        <v>0</v>
      </c>
      <c r="T11" s="55"/>
      <c r="U11" s="55">
        <v>62.5</v>
      </c>
      <c r="V11" s="123">
        <v>125</v>
      </c>
      <c r="W11" s="170"/>
      <c r="X11" s="370"/>
      <c r="Y11" s="172">
        <f t="shared" si="4"/>
        <v>42905.009900018616</v>
      </c>
      <c r="Z11" s="284"/>
      <c r="AA11" s="284"/>
    </row>
    <row r="12" spans="1:27" ht="15.6">
      <c r="A12" s="79"/>
      <c r="B12" s="335"/>
      <c r="C12" s="122"/>
      <c r="D12" s="122">
        <f t="shared" si="0"/>
        <v>0</v>
      </c>
      <c r="E12" s="352">
        <f t="shared" ref="E12:K22" si="23">$B12/$M12*P12</f>
        <v>0</v>
      </c>
      <c r="F12" s="133">
        <f t="shared" si="23"/>
        <v>0</v>
      </c>
      <c r="G12" s="336">
        <f t="shared" si="23"/>
        <v>0</v>
      </c>
      <c r="H12" s="88">
        <f t="shared" si="23"/>
        <v>0</v>
      </c>
      <c r="I12" s="88">
        <f t="shared" si="23"/>
        <v>0</v>
      </c>
      <c r="J12" s="242">
        <f t="shared" si="23"/>
        <v>0</v>
      </c>
      <c r="K12" s="375">
        <f t="shared" si="23"/>
        <v>0</v>
      </c>
      <c r="L12" s="131">
        <f t="shared" si="1"/>
        <v>0</v>
      </c>
      <c r="M12" s="89">
        <f t="shared" si="2"/>
        <v>563.75</v>
      </c>
      <c r="N12" s="55"/>
      <c r="O12" s="55"/>
      <c r="P12" s="55">
        <v>151.25</v>
      </c>
      <c r="Q12" s="55">
        <v>0</v>
      </c>
      <c r="R12" s="55">
        <v>225</v>
      </c>
      <c r="S12" s="55">
        <v>0</v>
      </c>
      <c r="T12" s="55"/>
      <c r="U12" s="55">
        <v>62.5</v>
      </c>
      <c r="V12" s="123">
        <v>125</v>
      </c>
      <c r="W12" s="170"/>
      <c r="X12" s="370"/>
      <c r="Y12" s="172">
        <f t="shared" si="4"/>
        <v>42905.009900018616</v>
      </c>
      <c r="Z12" s="284"/>
      <c r="AA12" s="284"/>
    </row>
    <row r="13" spans="1:27" ht="15.6">
      <c r="A13" s="79"/>
      <c r="B13" s="334"/>
      <c r="C13" s="122"/>
      <c r="D13" s="122">
        <f t="shared" si="0"/>
        <v>0</v>
      </c>
      <c r="E13" s="352">
        <f t="shared" si="23"/>
        <v>0</v>
      </c>
      <c r="F13" s="133">
        <f t="shared" si="23"/>
        <v>0</v>
      </c>
      <c r="G13" s="336">
        <f t="shared" si="23"/>
        <v>0</v>
      </c>
      <c r="H13" s="88">
        <f t="shared" si="23"/>
        <v>0</v>
      </c>
      <c r="I13" s="88">
        <f t="shared" si="23"/>
        <v>0</v>
      </c>
      <c r="J13" s="242">
        <f t="shared" si="23"/>
        <v>0</v>
      </c>
      <c r="K13" s="242">
        <f t="shared" si="23"/>
        <v>0</v>
      </c>
      <c r="L13" s="131">
        <f t="shared" si="1"/>
        <v>0</v>
      </c>
      <c r="M13" s="89">
        <f t="shared" si="2"/>
        <v>555.48387096774195</v>
      </c>
      <c r="N13" s="55"/>
      <c r="O13" s="55"/>
      <c r="P13" s="55">
        <v>149.03225806451613</v>
      </c>
      <c r="Q13" s="55">
        <v>0</v>
      </c>
      <c r="R13" s="55">
        <v>196.45161290322579</v>
      </c>
      <c r="S13" s="55">
        <v>0</v>
      </c>
      <c r="T13" s="55"/>
      <c r="U13" s="55">
        <v>70</v>
      </c>
      <c r="V13" s="123">
        <v>140</v>
      </c>
      <c r="W13" s="170"/>
      <c r="X13" s="370"/>
      <c r="Y13" s="172">
        <f t="shared" si="4"/>
        <v>42905.009900018616</v>
      </c>
      <c r="Z13" s="306"/>
      <c r="AA13" s="306"/>
    </row>
    <row r="14" spans="1:27" ht="15.6">
      <c r="A14" s="79"/>
      <c r="B14" s="334"/>
      <c r="C14" s="122"/>
      <c r="D14" s="353">
        <f t="shared" si="0"/>
        <v>0</v>
      </c>
      <c r="E14" s="352">
        <f t="shared" si="23"/>
        <v>0</v>
      </c>
      <c r="F14" s="133">
        <f t="shared" si="23"/>
        <v>0</v>
      </c>
      <c r="G14" s="336">
        <f t="shared" si="23"/>
        <v>0</v>
      </c>
      <c r="H14" s="88">
        <f t="shared" si="23"/>
        <v>0</v>
      </c>
      <c r="I14" s="88">
        <f t="shared" si="23"/>
        <v>0</v>
      </c>
      <c r="J14" s="242">
        <f t="shared" si="23"/>
        <v>0</v>
      </c>
      <c r="K14" s="242">
        <f t="shared" si="23"/>
        <v>0</v>
      </c>
      <c r="L14" s="131">
        <f t="shared" si="1"/>
        <v>0</v>
      </c>
      <c r="M14" s="89">
        <f t="shared" si="2"/>
        <v>605.48387096774195</v>
      </c>
      <c r="N14" s="55"/>
      <c r="O14" s="55">
        <v>50</v>
      </c>
      <c r="P14" s="55">
        <v>149.03225806451613</v>
      </c>
      <c r="Q14" s="55">
        <v>0</v>
      </c>
      <c r="R14" s="55">
        <v>196.45161290322579</v>
      </c>
      <c r="S14" s="55">
        <v>0</v>
      </c>
      <c r="T14" s="55"/>
      <c r="U14" s="55">
        <v>70</v>
      </c>
      <c r="V14" s="123">
        <v>140</v>
      </c>
      <c r="W14" s="170"/>
      <c r="X14" s="370"/>
      <c r="Y14" s="172">
        <f t="shared" si="4"/>
        <v>42905.009900018616</v>
      </c>
      <c r="Z14" s="297"/>
      <c r="AA14" s="297"/>
    </row>
    <row r="15" spans="1:27" ht="15.6">
      <c r="A15" s="79"/>
      <c r="B15" s="334"/>
      <c r="C15" s="122"/>
      <c r="D15" s="353">
        <f t="shared" si="0"/>
        <v>0</v>
      </c>
      <c r="E15" s="352">
        <f t="shared" si="23"/>
        <v>0</v>
      </c>
      <c r="F15" s="133">
        <f t="shared" si="23"/>
        <v>0</v>
      </c>
      <c r="G15" s="336">
        <f t="shared" si="23"/>
        <v>0</v>
      </c>
      <c r="H15" s="88">
        <f t="shared" si="23"/>
        <v>0</v>
      </c>
      <c r="I15" s="88">
        <f t="shared" si="23"/>
        <v>0</v>
      </c>
      <c r="J15" s="242">
        <f t="shared" si="23"/>
        <v>0</v>
      </c>
      <c r="K15" s="242">
        <f t="shared" si="23"/>
        <v>0</v>
      </c>
      <c r="L15" s="131">
        <f t="shared" si="1"/>
        <v>0</v>
      </c>
      <c r="M15" s="89">
        <f t="shared" si="2"/>
        <v>605.48387096774195</v>
      </c>
      <c r="N15" s="55"/>
      <c r="O15" s="55">
        <v>50</v>
      </c>
      <c r="P15" s="55">
        <v>149.03225806451613</v>
      </c>
      <c r="Q15" s="55">
        <v>0</v>
      </c>
      <c r="R15" s="55">
        <v>196.45161290322579</v>
      </c>
      <c r="S15" s="55">
        <v>0</v>
      </c>
      <c r="T15" s="55"/>
      <c r="U15" s="55">
        <v>70</v>
      </c>
      <c r="V15" s="123">
        <v>140</v>
      </c>
      <c r="W15" s="170"/>
      <c r="X15" s="370"/>
      <c r="Y15" s="172">
        <f t="shared" si="4"/>
        <v>42905.009900018616</v>
      </c>
      <c r="Z15"/>
      <c r="AA15"/>
    </row>
    <row r="16" spans="1:27" ht="15.6">
      <c r="A16" s="79"/>
      <c r="B16" s="334"/>
      <c r="C16" s="122"/>
      <c r="D16" s="353">
        <f t="shared" si="0"/>
        <v>0</v>
      </c>
      <c r="E16" s="352">
        <f t="shared" si="23"/>
        <v>0</v>
      </c>
      <c r="F16" s="133">
        <f t="shared" si="23"/>
        <v>0</v>
      </c>
      <c r="G16" s="336">
        <f t="shared" si="23"/>
        <v>0</v>
      </c>
      <c r="H16" s="88">
        <f t="shared" si="23"/>
        <v>0</v>
      </c>
      <c r="I16" s="242">
        <f t="shared" si="23"/>
        <v>0</v>
      </c>
      <c r="J16" s="88">
        <f t="shared" si="23"/>
        <v>0</v>
      </c>
      <c r="K16" s="88">
        <f t="shared" si="23"/>
        <v>0</v>
      </c>
      <c r="L16" s="131">
        <f t="shared" si="1"/>
        <v>0</v>
      </c>
      <c r="M16" s="89">
        <f t="shared" si="2"/>
        <v>625.47410160334243</v>
      </c>
      <c r="N16" s="55"/>
      <c r="O16" s="55">
        <v>69.990230635600525</v>
      </c>
      <c r="P16" s="55">
        <v>149.03225806451613</v>
      </c>
      <c r="Q16" s="55">
        <v>0</v>
      </c>
      <c r="R16" s="55">
        <v>196.45161290322579</v>
      </c>
      <c r="S16" s="55">
        <v>0</v>
      </c>
      <c r="T16" s="55">
        <v>210</v>
      </c>
      <c r="U16" s="55"/>
      <c r="V16" s="123"/>
      <c r="W16" s="170"/>
      <c r="X16" s="370"/>
      <c r="Y16" s="172">
        <f t="shared" si="4"/>
        <v>42905.009900018616</v>
      </c>
      <c r="Z16" s="308"/>
      <c r="AA16" s="308"/>
    </row>
    <row r="17" spans="1:27" ht="15.6">
      <c r="A17" s="79"/>
      <c r="B17" s="334"/>
      <c r="C17" s="122"/>
      <c r="D17" s="122">
        <f t="shared" si="0"/>
        <v>0</v>
      </c>
      <c r="E17" s="352">
        <f t="shared" ref="E17" si="24">$B17/$M17*P17</f>
        <v>0</v>
      </c>
      <c r="F17" s="133">
        <f t="shared" ref="F17" si="25">$B17/$M17*Q17</f>
        <v>0</v>
      </c>
      <c r="G17" s="242">
        <f t="shared" ref="G17" si="26">$B17/$M17*R17</f>
        <v>0</v>
      </c>
      <c r="H17" s="88">
        <f t="shared" ref="H17" si="27">$B17/$M17*S17</f>
        <v>0</v>
      </c>
      <c r="I17" s="242">
        <f t="shared" ref="I17" si="28">$B17/$M17*T17</f>
        <v>0</v>
      </c>
      <c r="J17" s="88">
        <f t="shared" ref="J17" si="29">$B17/$M17*U17</f>
        <v>0</v>
      </c>
      <c r="K17" s="88">
        <f t="shared" ref="K17" si="30">$B17/$M17*V17</f>
        <v>0</v>
      </c>
      <c r="L17" s="131">
        <f t="shared" ref="L17" si="31">B17/M17</f>
        <v>0</v>
      </c>
      <c r="M17" s="89">
        <f t="shared" ref="M17" si="32">SUM(N17:V17)</f>
        <v>555.48387096774195</v>
      </c>
      <c r="N17" s="55"/>
      <c r="O17" s="55"/>
      <c r="P17" s="55">
        <v>149.03225806451613</v>
      </c>
      <c r="Q17" s="55">
        <v>0</v>
      </c>
      <c r="R17" s="55">
        <v>196.45161290322579</v>
      </c>
      <c r="S17" s="55">
        <v>0</v>
      </c>
      <c r="T17" s="55">
        <v>210</v>
      </c>
      <c r="U17" s="55"/>
      <c r="V17" s="123"/>
      <c r="W17" s="170"/>
      <c r="X17" s="370"/>
      <c r="Y17" s="172">
        <f t="shared" si="4"/>
        <v>42905.009900018616</v>
      </c>
      <c r="Z17" s="310"/>
      <c r="AA17" s="310"/>
    </row>
    <row r="18" spans="1:27" ht="15.6">
      <c r="A18" s="79"/>
      <c r="B18" s="334"/>
      <c r="C18" s="122"/>
      <c r="D18" s="122">
        <f t="shared" si="0"/>
        <v>0</v>
      </c>
      <c r="E18" s="354">
        <f t="shared" si="23"/>
        <v>0</v>
      </c>
      <c r="F18" s="133">
        <f t="shared" si="23"/>
        <v>0</v>
      </c>
      <c r="G18" s="352">
        <f t="shared" si="23"/>
        <v>0</v>
      </c>
      <c r="H18" s="88">
        <f t="shared" si="23"/>
        <v>0</v>
      </c>
      <c r="I18" s="242">
        <f t="shared" si="23"/>
        <v>0</v>
      </c>
      <c r="J18" s="88">
        <f t="shared" si="23"/>
        <v>0</v>
      </c>
      <c r="K18" s="88">
        <f t="shared" si="23"/>
        <v>0</v>
      </c>
      <c r="L18" s="131">
        <f t="shared" si="1"/>
        <v>0</v>
      </c>
      <c r="M18" s="89">
        <f t="shared" si="2"/>
        <v>835.77712609970672</v>
      </c>
      <c r="N18" s="55"/>
      <c r="O18" s="55"/>
      <c r="P18" s="55">
        <v>351.90615835777129</v>
      </c>
      <c r="Q18" s="55">
        <v>0</v>
      </c>
      <c r="R18" s="55">
        <v>233.87096774193549</v>
      </c>
      <c r="S18" s="55">
        <v>0</v>
      </c>
      <c r="T18" s="55">
        <v>250</v>
      </c>
      <c r="U18" s="55"/>
      <c r="V18" s="123"/>
      <c r="W18" s="289"/>
      <c r="X18" s="371"/>
      <c r="Y18" s="172">
        <f t="shared" si="4"/>
        <v>42905.009900018616</v>
      </c>
      <c r="Z18" s="297"/>
      <c r="AA18" s="297"/>
    </row>
    <row r="19" spans="1:27" ht="15.6">
      <c r="A19" s="79"/>
      <c r="B19" s="334"/>
      <c r="C19" s="122"/>
      <c r="D19" s="355">
        <f t="shared" si="0"/>
        <v>0</v>
      </c>
      <c r="E19" s="354">
        <f t="shared" si="23"/>
        <v>0</v>
      </c>
      <c r="F19" s="133">
        <f t="shared" si="23"/>
        <v>0</v>
      </c>
      <c r="G19" s="352">
        <f t="shared" si="23"/>
        <v>0</v>
      </c>
      <c r="H19" s="88">
        <f t="shared" si="23"/>
        <v>0</v>
      </c>
      <c r="I19" s="242">
        <f t="shared" si="23"/>
        <v>0</v>
      </c>
      <c r="J19" s="88">
        <f t="shared" si="23"/>
        <v>0</v>
      </c>
      <c r="K19" s="88">
        <f t="shared" si="23"/>
        <v>0</v>
      </c>
      <c r="L19" s="131">
        <f t="shared" si="1"/>
        <v>0</v>
      </c>
      <c r="M19" s="89">
        <f t="shared" si="2"/>
        <v>860</v>
      </c>
      <c r="N19" s="55"/>
      <c r="O19" s="55">
        <v>100</v>
      </c>
      <c r="P19" s="55">
        <v>320</v>
      </c>
      <c r="Q19" s="55">
        <v>0</v>
      </c>
      <c r="R19" s="55">
        <v>240</v>
      </c>
      <c r="S19" s="55">
        <v>0</v>
      </c>
      <c r="T19" s="55">
        <v>200</v>
      </c>
      <c r="U19" s="55"/>
      <c r="V19" s="123"/>
      <c r="W19" s="289"/>
      <c r="X19" s="371"/>
      <c r="Y19" s="172">
        <f t="shared" si="4"/>
        <v>42905.009900018616</v>
      </c>
      <c r="Z19" s="269"/>
      <c r="AA19" s="269"/>
    </row>
    <row r="20" spans="1:27" ht="15.6">
      <c r="A20" s="79"/>
      <c r="B20" s="334"/>
      <c r="C20" s="122"/>
      <c r="D20" s="355">
        <f t="shared" si="0"/>
        <v>0</v>
      </c>
      <c r="E20" s="352">
        <f t="shared" ref="E20" si="33">$B20/$M20*P20</f>
        <v>0</v>
      </c>
      <c r="F20" s="133">
        <f t="shared" ref="F20" si="34">$B20/$M20*Q20</f>
        <v>0</v>
      </c>
      <c r="G20" s="352">
        <f t="shared" ref="G20" si="35">$B20/$M20*R20</f>
        <v>0</v>
      </c>
      <c r="H20" s="88">
        <f t="shared" ref="H20" si="36">$B20/$M20*S20</f>
        <v>0</v>
      </c>
      <c r="I20" s="242">
        <f t="shared" ref="I20" si="37">$B20/$M20*T20</f>
        <v>0</v>
      </c>
      <c r="J20" s="88">
        <f t="shared" ref="J20" si="38">$B20/$M20*U20</f>
        <v>0</v>
      </c>
      <c r="K20" s="88">
        <f t="shared" ref="K20" si="39">$B20/$M20*V20</f>
        <v>0</v>
      </c>
      <c r="L20" s="131">
        <f t="shared" ref="L20" si="40">B20/M20</f>
        <v>0</v>
      </c>
      <c r="M20" s="89">
        <f t="shared" ref="M20" si="41">SUM(N20:V20)</f>
        <v>848.26868620349023</v>
      </c>
      <c r="N20" s="55"/>
      <c r="O20" s="55">
        <v>80</v>
      </c>
      <c r="P20" s="55">
        <v>240.26868620349029</v>
      </c>
      <c r="Q20" s="55">
        <v>0</v>
      </c>
      <c r="R20" s="55">
        <v>288</v>
      </c>
      <c r="S20" s="55">
        <v>0</v>
      </c>
      <c r="T20" s="55">
        <v>240</v>
      </c>
      <c r="U20" s="55"/>
      <c r="V20" s="123"/>
      <c r="W20" s="289"/>
      <c r="X20" s="371"/>
      <c r="Y20" s="172">
        <f t="shared" si="4"/>
        <v>42905.009900018616</v>
      </c>
      <c r="Z20" s="310"/>
      <c r="AA20" s="310"/>
    </row>
    <row r="21" spans="1:27" ht="15.6">
      <c r="A21" s="79"/>
      <c r="B21" s="334"/>
      <c r="C21" s="122"/>
      <c r="D21" s="355">
        <f t="shared" ref="D21:D41" si="42">$B21/$M21*O21</f>
        <v>0</v>
      </c>
      <c r="E21" s="352">
        <f t="shared" ref="E21" si="43">$B21/$M21*P21</f>
        <v>0</v>
      </c>
      <c r="F21" s="133">
        <f t="shared" ref="F21" si="44">$B21/$M21*Q21</f>
        <v>0</v>
      </c>
      <c r="G21" s="354">
        <f t="shared" ref="G21" si="45">$B21/$M21*R21</f>
        <v>0</v>
      </c>
      <c r="H21" s="88">
        <f t="shared" ref="H21" si="46">$B21/$M21*S21</f>
        <v>0</v>
      </c>
      <c r="I21" s="356">
        <f t="shared" ref="I21" si="47">$B21/$M21*T21</f>
        <v>0</v>
      </c>
      <c r="J21" s="88">
        <f t="shared" ref="J21" si="48">$B21/$M21*U21</f>
        <v>0</v>
      </c>
      <c r="K21" s="88">
        <f t="shared" ref="K21" si="49">$B21/$M21*V21</f>
        <v>0</v>
      </c>
      <c r="L21" s="131">
        <f t="shared" ref="L21" si="50">B21/M21</f>
        <v>0</v>
      </c>
      <c r="M21" s="89">
        <f t="shared" ref="M21" si="51">SUM(N21:V21)</f>
        <v>848.26868620349023</v>
      </c>
      <c r="N21" s="55"/>
      <c r="O21" s="55">
        <v>80</v>
      </c>
      <c r="P21" s="55">
        <v>240.26868620349029</v>
      </c>
      <c r="Q21" s="55">
        <v>0</v>
      </c>
      <c r="R21" s="55">
        <v>288</v>
      </c>
      <c r="S21" s="55">
        <v>0</v>
      </c>
      <c r="T21" s="55">
        <v>240</v>
      </c>
      <c r="U21" s="55"/>
      <c r="V21" s="123"/>
      <c r="W21" s="289"/>
      <c r="X21" s="371"/>
      <c r="Y21" s="172">
        <f t="shared" si="4"/>
        <v>42905.009900018616</v>
      </c>
      <c r="Z21" s="310"/>
      <c r="AA21" s="310"/>
    </row>
    <row r="22" spans="1:27" ht="15.6">
      <c r="A22" s="79"/>
      <c r="B22" s="334"/>
      <c r="C22" s="122"/>
      <c r="D22" s="355">
        <f t="shared" si="42"/>
        <v>0</v>
      </c>
      <c r="E22" s="352">
        <f t="shared" si="23"/>
        <v>0</v>
      </c>
      <c r="F22" s="133">
        <f t="shared" si="23"/>
        <v>0</v>
      </c>
      <c r="G22" s="354">
        <f t="shared" si="23"/>
        <v>0</v>
      </c>
      <c r="H22" s="88">
        <f t="shared" si="23"/>
        <v>0</v>
      </c>
      <c r="I22" s="336">
        <f t="shared" si="23"/>
        <v>0</v>
      </c>
      <c r="J22" s="88">
        <f t="shared" si="23"/>
        <v>0</v>
      </c>
      <c r="K22" s="88">
        <f t="shared" si="23"/>
        <v>0</v>
      </c>
      <c r="L22" s="131">
        <f t="shared" si="1"/>
        <v>0</v>
      </c>
      <c r="M22" s="89">
        <f t="shared" si="2"/>
        <v>863.26868620349023</v>
      </c>
      <c r="N22" s="55"/>
      <c r="O22" s="55">
        <v>95</v>
      </c>
      <c r="P22" s="55">
        <v>240.26868620349029</v>
      </c>
      <c r="Q22" s="55">
        <v>0</v>
      </c>
      <c r="R22" s="55">
        <v>288</v>
      </c>
      <c r="S22" s="55">
        <v>0</v>
      </c>
      <c r="T22" s="55">
        <v>240</v>
      </c>
      <c r="U22" s="55"/>
      <c r="V22" s="123"/>
      <c r="W22" s="289"/>
      <c r="X22" s="371"/>
      <c r="Y22" s="172">
        <f t="shared" si="4"/>
        <v>42905.009900018616</v>
      </c>
      <c r="Z22" s="309"/>
      <c r="AA22" s="309"/>
    </row>
    <row r="23" spans="1:27" ht="15.6">
      <c r="A23" s="79"/>
      <c r="B23" s="334"/>
      <c r="C23" s="122"/>
      <c r="D23" s="122">
        <f t="shared" si="42"/>
        <v>0</v>
      </c>
      <c r="E23" s="352">
        <f t="shared" ref="E23:I25" si="52">$B23/$M23*P23</f>
        <v>0</v>
      </c>
      <c r="F23" s="133">
        <f t="shared" si="52"/>
        <v>0</v>
      </c>
      <c r="G23" s="354">
        <f t="shared" si="52"/>
        <v>0</v>
      </c>
      <c r="H23" s="88">
        <f t="shared" si="52"/>
        <v>0</v>
      </c>
      <c r="I23" s="336">
        <f t="shared" si="52"/>
        <v>0</v>
      </c>
      <c r="J23" s="88">
        <f t="shared" ref="J23:J39" si="53">$B23/$M23*U23</f>
        <v>0</v>
      </c>
      <c r="K23" s="88">
        <f t="shared" ref="K23:K39" si="54">$B23/$M23*V23</f>
        <v>0</v>
      </c>
      <c r="L23" s="131">
        <f t="shared" si="1"/>
        <v>0</v>
      </c>
      <c r="M23" s="89">
        <f t="shared" si="2"/>
        <v>802.62674328443813</v>
      </c>
      <c r="N23" s="55"/>
      <c r="O23" s="55"/>
      <c r="P23" s="55">
        <v>251.0138400586317</v>
      </c>
      <c r="Q23" s="55">
        <v>0</v>
      </c>
      <c r="R23" s="55">
        <v>266.61290322580646</v>
      </c>
      <c r="S23" s="55">
        <v>0</v>
      </c>
      <c r="T23" s="55">
        <v>285</v>
      </c>
      <c r="U23" s="55"/>
      <c r="V23" s="123"/>
      <c r="W23" s="170"/>
      <c r="X23" s="370"/>
      <c r="Y23" s="172">
        <f t="shared" si="4"/>
        <v>42905.009900018616</v>
      </c>
      <c r="Z23" s="261"/>
      <c r="AA23" s="261"/>
    </row>
    <row r="24" spans="1:27" ht="15.6">
      <c r="A24" s="79"/>
      <c r="B24" s="334"/>
      <c r="C24" s="122"/>
      <c r="D24" s="122">
        <f t="shared" si="42"/>
        <v>0</v>
      </c>
      <c r="E24" s="352">
        <f t="shared" si="52"/>
        <v>0</v>
      </c>
      <c r="F24" s="133">
        <f t="shared" si="52"/>
        <v>0</v>
      </c>
      <c r="G24" s="354">
        <f t="shared" si="52"/>
        <v>0</v>
      </c>
      <c r="H24" s="88">
        <f t="shared" si="52"/>
        <v>0</v>
      </c>
      <c r="I24" s="242">
        <f t="shared" si="52"/>
        <v>0</v>
      </c>
      <c r="J24" s="88">
        <f t="shared" si="53"/>
        <v>0</v>
      </c>
      <c r="K24" s="242">
        <f t="shared" si="54"/>
        <v>0</v>
      </c>
      <c r="L24" s="131">
        <f t="shared" si="1"/>
        <v>0</v>
      </c>
      <c r="M24" s="89">
        <f t="shared" si="2"/>
        <v>789.88663624817718</v>
      </c>
      <c r="N24" s="55"/>
      <c r="O24" s="55"/>
      <c r="P24" s="55">
        <v>247.02949339103441</v>
      </c>
      <c r="Q24" s="55">
        <v>0</v>
      </c>
      <c r="R24" s="55">
        <v>262.38095238095235</v>
      </c>
      <c r="S24" s="55">
        <v>0</v>
      </c>
      <c r="T24" s="55">
        <v>90.476190476190482</v>
      </c>
      <c r="U24" s="55"/>
      <c r="V24" s="123">
        <v>190</v>
      </c>
      <c r="W24" s="170"/>
      <c r="X24" s="370"/>
      <c r="Y24" s="172">
        <f t="shared" si="4"/>
        <v>42905.009900018616</v>
      </c>
      <c r="Z24" s="269"/>
      <c r="AA24" s="269"/>
    </row>
    <row r="25" spans="1:27" ht="15.6">
      <c r="A25" s="79"/>
      <c r="B25" s="334"/>
      <c r="C25" s="122"/>
      <c r="D25" s="122">
        <f t="shared" si="42"/>
        <v>0</v>
      </c>
      <c r="E25" s="352">
        <f t="shared" si="52"/>
        <v>0</v>
      </c>
      <c r="F25" s="133">
        <f t="shared" si="52"/>
        <v>0</v>
      </c>
      <c r="G25" s="354">
        <f t="shared" si="52"/>
        <v>0</v>
      </c>
      <c r="H25" s="88">
        <f t="shared" si="52"/>
        <v>0</v>
      </c>
      <c r="I25" s="352">
        <f t="shared" si="52"/>
        <v>0</v>
      </c>
      <c r="J25" s="88">
        <f t="shared" si="53"/>
        <v>0</v>
      </c>
      <c r="K25" s="242">
        <f t="shared" si="54"/>
        <v>0</v>
      </c>
      <c r="L25" s="131">
        <f t="shared" si="1"/>
        <v>0</v>
      </c>
      <c r="M25" s="89">
        <f t="shared" si="2"/>
        <v>789.88663624817718</v>
      </c>
      <c r="N25" s="55"/>
      <c r="O25" s="55"/>
      <c r="P25" s="55">
        <v>247.02949339103441</v>
      </c>
      <c r="Q25" s="55">
        <v>0</v>
      </c>
      <c r="R25" s="55">
        <v>262.38095238095235</v>
      </c>
      <c r="S25" s="55">
        <v>0</v>
      </c>
      <c r="T25" s="55">
        <v>90.476190476190482</v>
      </c>
      <c r="U25" s="55"/>
      <c r="V25" s="123">
        <v>190</v>
      </c>
      <c r="W25" s="289"/>
      <c r="X25" s="371"/>
      <c r="Y25" s="172">
        <f t="shared" si="4"/>
        <v>42905.009900018616</v>
      </c>
      <c r="Z25" s="166"/>
      <c r="AA25" s="166"/>
    </row>
    <row r="26" spans="1:27" ht="15.6">
      <c r="A26" s="79"/>
      <c r="B26" s="334"/>
      <c r="C26" s="122"/>
      <c r="D26" s="122">
        <f t="shared" si="42"/>
        <v>0</v>
      </c>
      <c r="E26" s="352">
        <f t="shared" ref="E26:E37" si="55">$B26/$M26*P26</f>
        <v>0</v>
      </c>
      <c r="F26" s="133">
        <f t="shared" ref="F26:F37" si="56">$B26/$M26*Q26</f>
        <v>0</v>
      </c>
      <c r="G26" s="352">
        <f t="shared" ref="G26:G37" si="57">$B26/$M26*R26</f>
        <v>0</v>
      </c>
      <c r="H26" s="88">
        <f t="shared" ref="H26:H37" si="58">$B26/$M26*S26</f>
        <v>0</v>
      </c>
      <c r="I26" s="352">
        <f t="shared" ref="I26:I37" si="59">$B26/$M26*T26</f>
        <v>0</v>
      </c>
      <c r="J26" s="88">
        <f t="shared" si="53"/>
        <v>0</v>
      </c>
      <c r="K26" s="242">
        <f t="shared" si="54"/>
        <v>0</v>
      </c>
      <c r="L26" s="131">
        <f t="shared" si="1"/>
        <v>0</v>
      </c>
      <c r="M26" s="89">
        <f t="shared" si="2"/>
        <v>789.88663624817718</v>
      </c>
      <c r="N26" s="55"/>
      <c r="O26" s="55"/>
      <c r="P26" s="55">
        <v>247.02949339103441</v>
      </c>
      <c r="Q26" s="55">
        <v>0</v>
      </c>
      <c r="R26" s="55">
        <v>262.38095238095235</v>
      </c>
      <c r="S26" s="55">
        <v>0</v>
      </c>
      <c r="T26" s="55">
        <v>90.476190476190482</v>
      </c>
      <c r="U26" s="55"/>
      <c r="V26" s="123">
        <v>190</v>
      </c>
      <c r="W26" s="289"/>
      <c r="X26" s="371"/>
      <c r="Y26" s="172">
        <f t="shared" si="4"/>
        <v>42905.009900018616</v>
      </c>
      <c r="Z26" s="299"/>
      <c r="AA26" s="299"/>
    </row>
    <row r="27" spans="1:27" ht="15.6">
      <c r="A27" s="79"/>
      <c r="B27" s="274"/>
      <c r="C27" s="122"/>
      <c r="D27" s="122">
        <f t="shared" si="42"/>
        <v>0</v>
      </c>
      <c r="E27" s="352">
        <f t="shared" ref="E27:K27" si="60">$B27/$M27*P27</f>
        <v>0</v>
      </c>
      <c r="F27" s="133">
        <f t="shared" si="60"/>
        <v>0</v>
      </c>
      <c r="G27" s="352">
        <f t="shared" si="60"/>
        <v>0</v>
      </c>
      <c r="H27" s="88">
        <f t="shared" si="60"/>
        <v>0</v>
      </c>
      <c r="I27" s="352">
        <f t="shared" si="60"/>
        <v>0</v>
      </c>
      <c r="J27" s="88">
        <f t="shared" si="60"/>
        <v>0</v>
      </c>
      <c r="K27" s="242">
        <f t="shared" si="60"/>
        <v>0</v>
      </c>
      <c r="L27" s="131">
        <f t="shared" si="1"/>
        <v>0</v>
      </c>
      <c r="M27" s="89">
        <f t="shared" si="2"/>
        <v>789.88663624817718</v>
      </c>
      <c r="N27" s="55"/>
      <c r="O27" s="55"/>
      <c r="P27" s="55">
        <v>247.02949339103441</v>
      </c>
      <c r="Q27" s="55">
        <v>0</v>
      </c>
      <c r="R27" s="55">
        <v>262.38095238095235</v>
      </c>
      <c r="S27" s="55">
        <v>0</v>
      </c>
      <c r="T27" s="55">
        <v>90.476190476190482</v>
      </c>
      <c r="U27" s="55"/>
      <c r="V27" s="123">
        <v>190</v>
      </c>
      <c r="W27" s="289"/>
      <c r="X27" s="371"/>
      <c r="Y27" s="172">
        <f t="shared" si="4"/>
        <v>42905.009900018616</v>
      </c>
      <c r="Z27" s="309"/>
      <c r="AA27" s="309"/>
    </row>
    <row r="28" spans="1:27" ht="15.6">
      <c r="A28" s="79"/>
      <c r="B28" s="274"/>
      <c r="C28" s="122"/>
      <c r="D28" s="122">
        <f t="shared" si="42"/>
        <v>0</v>
      </c>
      <c r="E28" s="352">
        <f t="shared" si="55"/>
        <v>0</v>
      </c>
      <c r="F28" s="133">
        <f t="shared" si="56"/>
        <v>0</v>
      </c>
      <c r="G28" s="352">
        <f t="shared" si="57"/>
        <v>0</v>
      </c>
      <c r="H28" s="88">
        <f t="shared" si="58"/>
        <v>0</v>
      </c>
      <c r="I28" s="354">
        <f t="shared" si="59"/>
        <v>0</v>
      </c>
      <c r="J28" s="88">
        <f>$B28/$M28*U28</f>
        <v>0</v>
      </c>
      <c r="K28" s="242">
        <f>$B28/$M28*V28</f>
        <v>0</v>
      </c>
      <c r="L28" s="131">
        <f t="shared" si="1"/>
        <v>0</v>
      </c>
      <c r="M28" s="89">
        <f t="shared" si="2"/>
        <v>797.93301963949989</v>
      </c>
      <c r="N28" s="55"/>
      <c r="O28" s="55"/>
      <c r="P28" s="55">
        <v>249.54592286530632</v>
      </c>
      <c r="Q28" s="55">
        <v>0</v>
      </c>
      <c r="R28" s="55">
        <v>265.05376344086017</v>
      </c>
      <c r="S28" s="55">
        <v>0</v>
      </c>
      <c r="T28" s="55">
        <v>113.33333333333333</v>
      </c>
      <c r="U28" s="55"/>
      <c r="V28" s="123">
        <v>170</v>
      </c>
      <c r="W28" s="289"/>
      <c r="X28" s="371"/>
      <c r="Y28" s="172">
        <f t="shared" si="4"/>
        <v>42905.009900018616</v>
      </c>
      <c r="Z28" s="302"/>
      <c r="AA28" s="302"/>
    </row>
    <row r="29" spans="1:27" ht="15.6">
      <c r="A29" s="79"/>
      <c r="B29" s="274"/>
      <c r="C29" s="122"/>
      <c r="D29" s="122">
        <f t="shared" si="42"/>
        <v>0</v>
      </c>
      <c r="E29" s="352">
        <f t="shared" si="55"/>
        <v>0</v>
      </c>
      <c r="F29" s="133">
        <f t="shared" si="56"/>
        <v>0</v>
      </c>
      <c r="G29" s="352">
        <f t="shared" si="57"/>
        <v>0</v>
      </c>
      <c r="H29" s="88">
        <f t="shared" si="58"/>
        <v>0</v>
      </c>
      <c r="I29" s="352">
        <f t="shared" si="59"/>
        <v>0</v>
      </c>
      <c r="J29" s="88">
        <f t="shared" si="53"/>
        <v>0</v>
      </c>
      <c r="K29" s="242">
        <f t="shared" si="54"/>
        <v>0</v>
      </c>
      <c r="L29" s="131">
        <f t="shared" si="1"/>
        <v>0</v>
      </c>
      <c r="M29" s="89">
        <f t="shared" si="2"/>
        <v>831.4596171033445</v>
      </c>
      <c r="N29" s="55"/>
      <c r="O29" s="55"/>
      <c r="P29" s="55">
        <v>260.03104567477305</v>
      </c>
      <c r="Q29" s="55">
        <v>0</v>
      </c>
      <c r="R29" s="55">
        <v>276.1904761904762</v>
      </c>
      <c r="S29" s="55">
        <v>0</v>
      </c>
      <c r="T29" s="55">
        <v>95.238095238095241</v>
      </c>
      <c r="U29" s="55"/>
      <c r="V29" s="123">
        <v>200</v>
      </c>
      <c r="W29" s="170"/>
      <c r="X29" s="370"/>
      <c r="Y29" s="172">
        <f t="shared" si="4"/>
        <v>42905.009900018616</v>
      </c>
      <c r="Z29"/>
      <c r="AA29"/>
    </row>
    <row r="30" spans="1:27" ht="15.6">
      <c r="A30" s="79"/>
      <c r="B30" s="274"/>
      <c r="C30" s="122"/>
      <c r="D30" s="122">
        <f t="shared" si="42"/>
        <v>0</v>
      </c>
      <c r="E30" s="88">
        <f t="shared" ref="E30" si="61">$B30/$M30*P30</f>
        <v>0</v>
      </c>
      <c r="F30" s="133">
        <f t="shared" ref="F30" si="62">$B30/$M30*Q30</f>
        <v>0</v>
      </c>
      <c r="G30" s="352">
        <f t="shared" ref="G30" si="63">$B30/$M30*R30</f>
        <v>0</v>
      </c>
      <c r="H30" s="88">
        <f t="shared" ref="H30" si="64">$B30/$M30*S30</f>
        <v>0</v>
      </c>
      <c r="I30" s="352">
        <f t="shared" ref="I30" si="65">$B30/$M30*T30</f>
        <v>0</v>
      </c>
      <c r="J30" s="88">
        <f t="shared" ref="J30" si="66">$B30/$M30*U30</f>
        <v>0</v>
      </c>
      <c r="K30" s="242">
        <f t="shared" ref="K30" si="67">$B30/$M30*V30</f>
        <v>0</v>
      </c>
      <c r="L30" s="131">
        <f t="shared" ref="L30" si="68">B30/M30</f>
        <v>0</v>
      </c>
      <c r="M30" s="89">
        <f t="shared" ref="M30" si="69">SUM(N30:V30)</f>
        <v>571.42857142857144</v>
      </c>
      <c r="N30" s="55"/>
      <c r="O30" s="55"/>
      <c r="P30" s="55"/>
      <c r="Q30" s="55">
        <v>0</v>
      </c>
      <c r="R30" s="55">
        <v>276.1904761904762</v>
      </c>
      <c r="S30" s="55">
        <v>0</v>
      </c>
      <c r="T30" s="55">
        <v>95.238095238095241</v>
      </c>
      <c r="U30" s="55"/>
      <c r="V30" s="123">
        <v>200</v>
      </c>
      <c r="W30" s="170"/>
      <c r="X30" s="370"/>
      <c r="Y30" s="172">
        <f t="shared" si="4"/>
        <v>42905.009900018616</v>
      </c>
      <c r="Z30" s="322"/>
      <c r="AA30" s="322"/>
    </row>
    <row r="31" spans="1:27" ht="15.6">
      <c r="A31" s="79"/>
      <c r="B31" s="274"/>
      <c r="C31" s="122"/>
      <c r="D31" s="122">
        <f t="shared" si="42"/>
        <v>0</v>
      </c>
      <c r="E31" s="88">
        <f t="shared" si="55"/>
        <v>0</v>
      </c>
      <c r="F31" s="133">
        <f t="shared" si="56"/>
        <v>0</v>
      </c>
      <c r="G31" s="352">
        <f t="shared" si="57"/>
        <v>0</v>
      </c>
      <c r="H31" s="88">
        <f t="shared" si="58"/>
        <v>0</v>
      </c>
      <c r="I31" s="352">
        <f t="shared" si="59"/>
        <v>0</v>
      </c>
      <c r="J31" s="88">
        <f t="shared" si="53"/>
        <v>0</v>
      </c>
      <c r="K31" s="242">
        <f t="shared" si="54"/>
        <v>0</v>
      </c>
      <c r="L31" s="131">
        <f t="shared" si="1"/>
        <v>0</v>
      </c>
      <c r="M31" s="89">
        <f t="shared" si="2"/>
        <v>571.42857142857144</v>
      </c>
      <c r="N31" s="55"/>
      <c r="O31" s="55"/>
      <c r="P31" s="55"/>
      <c r="Q31" s="55">
        <v>0</v>
      </c>
      <c r="R31" s="55">
        <v>276.1904761904762</v>
      </c>
      <c r="S31" s="55">
        <v>0</v>
      </c>
      <c r="T31" s="55">
        <v>95.238095238095241</v>
      </c>
      <c r="U31" s="55"/>
      <c r="V31" s="123">
        <v>200</v>
      </c>
      <c r="W31" s="170"/>
      <c r="X31" s="370"/>
      <c r="Y31" s="172">
        <f t="shared" si="4"/>
        <v>42905.009900018616</v>
      </c>
      <c r="Z31" s="299"/>
      <c r="AA31" s="299"/>
    </row>
    <row r="32" spans="1:27" ht="15.6">
      <c r="A32" s="79"/>
      <c r="B32" s="274"/>
      <c r="C32" s="122"/>
      <c r="D32" s="122">
        <f t="shared" si="42"/>
        <v>0</v>
      </c>
      <c r="E32" s="88">
        <f t="shared" ref="E32:K32" si="70">$B32/$M32*P32</f>
        <v>0</v>
      </c>
      <c r="F32" s="133">
        <f t="shared" si="70"/>
        <v>0</v>
      </c>
      <c r="G32" s="352">
        <f t="shared" si="70"/>
        <v>0</v>
      </c>
      <c r="H32" s="88">
        <f t="shared" si="70"/>
        <v>0</v>
      </c>
      <c r="I32" s="352">
        <f t="shared" si="70"/>
        <v>0</v>
      </c>
      <c r="J32" s="88">
        <f t="shared" si="70"/>
        <v>0</v>
      </c>
      <c r="K32" s="352">
        <f t="shared" si="70"/>
        <v>0</v>
      </c>
      <c r="L32" s="131">
        <f t="shared" si="1"/>
        <v>0</v>
      </c>
      <c r="M32" s="89">
        <f t="shared" si="2"/>
        <v>571.42857142857144</v>
      </c>
      <c r="N32" s="55"/>
      <c r="O32" s="55"/>
      <c r="P32" s="55"/>
      <c r="Q32" s="55">
        <v>0</v>
      </c>
      <c r="R32" s="55">
        <v>276.1904761904762</v>
      </c>
      <c r="S32" s="55">
        <v>0</v>
      </c>
      <c r="T32" s="55">
        <v>95.238095238095241</v>
      </c>
      <c r="U32" s="55"/>
      <c r="V32" s="123">
        <v>200</v>
      </c>
      <c r="W32" s="170"/>
      <c r="X32" s="370"/>
      <c r="Y32" s="172">
        <f t="shared" si="4"/>
        <v>42905.009900018616</v>
      </c>
      <c r="Z32" s="309"/>
      <c r="AA32" s="309"/>
    </row>
    <row r="33" spans="1:27" ht="15.6">
      <c r="A33" s="79"/>
      <c r="B33" s="274"/>
      <c r="C33" s="122"/>
      <c r="D33" s="122">
        <f t="shared" si="42"/>
        <v>0</v>
      </c>
      <c r="E33" s="88">
        <f t="shared" ref="E33" si="71">$B33/$M33*P33</f>
        <v>0</v>
      </c>
      <c r="F33" s="133">
        <f t="shared" ref="F33" si="72">$B33/$M33*Q33</f>
        <v>0</v>
      </c>
      <c r="G33" s="352">
        <f t="shared" ref="G33" si="73">$B33/$M33*R33</f>
        <v>0</v>
      </c>
      <c r="H33" s="88">
        <f t="shared" ref="H33" si="74">$B33/$M33*S33</f>
        <v>0</v>
      </c>
      <c r="I33" s="352">
        <f t="shared" ref="I33" si="75">$B33/$M33*T33</f>
        <v>0</v>
      </c>
      <c r="J33" s="352">
        <f t="shared" ref="J33" si="76">$B33/$M33*U33</f>
        <v>0</v>
      </c>
      <c r="K33" s="352">
        <f t="shared" ref="K33" si="77">$B33/$M33*V33</f>
        <v>0</v>
      </c>
      <c r="L33" s="131">
        <f t="shared" ref="L33" si="78">B33/M33</f>
        <v>0</v>
      </c>
      <c r="M33" s="89">
        <f t="shared" ref="M33" si="79">SUM(N33:V33)</f>
        <v>542.85714285714289</v>
      </c>
      <c r="N33" s="55"/>
      <c r="O33" s="55"/>
      <c r="P33" s="55"/>
      <c r="Q33" s="55">
        <v>0</v>
      </c>
      <c r="R33" s="55">
        <v>262.38095238095235</v>
      </c>
      <c r="S33" s="55">
        <v>0</v>
      </c>
      <c r="T33" s="55">
        <v>90.476190476190482</v>
      </c>
      <c r="U33" s="55">
        <v>70</v>
      </c>
      <c r="V33" s="123">
        <v>120</v>
      </c>
      <c r="W33" s="170"/>
      <c r="X33" s="370"/>
      <c r="Y33" s="172">
        <f t="shared" si="4"/>
        <v>42905.009900018616</v>
      </c>
      <c r="Z33" s="310"/>
      <c r="AA33" s="310"/>
    </row>
    <row r="34" spans="1:27" ht="15.6">
      <c r="A34" s="79"/>
      <c r="B34" s="274"/>
      <c r="C34" s="122"/>
      <c r="D34" s="122">
        <f t="shared" si="42"/>
        <v>0</v>
      </c>
      <c r="E34" s="88">
        <f t="shared" si="55"/>
        <v>0</v>
      </c>
      <c r="F34" s="133">
        <f t="shared" si="56"/>
        <v>0</v>
      </c>
      <c r="G34" s="242">
        <f t="shared" si="57"/>
        <v>0</v>
      </c>
      <c r="H34" s="88">
        <f t="shared" si="58"/>
        <v>0</v>
      </c>
      <c r="I34" s="352">
        <f t="shared" si="59"/>
        <v>0</v>
      </c>
      <c r="J34" s="352">
        <f t="shared" si="53"/>
        <v>0</v>
      </c>
      <c r="K34" s="352">
        <f t="shared" si="54"/>
        <v>0</v>
      </c>
      <c r="L34" s="131">
        <f t="shared" si="1"/>
        <v>0</v>
      </c>
      <c r="M34" s="89">
        <f t="shared" si="2"/>
        <v>490</v>
      </c>
      <c r="N34" s="55"/>
      <c r="O34" s="55"/>
      <c r="P34" s="55"/>
      <c r="Q34" s="55">
        <v>0</v>
      </c>
      <c r="R34" s="55">
        <v>180</v>
      </c>
      <c r="S34" s="55">
        <v>0</v>
      </c>
      <c r="T34" s="55">
        <v>100</v>
      </c>
      <c r="U34" s="55">
        <v>80</v>
      </c>
      <c r="V34" s="123">
        <v>130</v>
      </c>
      <c r="W34" s="170"/>
      <c r="X34" s="370"/>
      <c r="Y34" s="172">
        <f t="shared" si="4"/>
        <v>42905.009900018616</v>
      </c>
      <c r="Z34" s="297"/>
      <c r="AA34" s="297"/>
    </row>
    <row r="35" spans="1:27" ht="15.6">
      <c r="A35" s="79"/>
      <c r="B35" s="274"/>
      <c r="C35" s="122"/>
      <c r="D35" s="122">
        <f t="shared" si="42"/>
        <v>0</v>
      </c>
      <c r="E35" s="88">
        <f t="shared" ref="E35:K35" si="80">$B35/$M35*P35</f>
        <v>0</v>
      </c>
      <c r="F35" s="133">
        <f t="shared" si="80"/>
        <v>0</v>
      </c>
      <c r="G35" s="242">
        <f t="shared" si="80"/>
        <v>0</v>
      </c>
      <c r="H35" s="88">
        <f t="shared" si="80"/>
        <v>0</v>
      </c>
      <c r="I35" s="352">
        <f t="shared" si="80"/>
        <v>0</v>
      </c>
      <c r="J35" s="352">
        <f t="shared" si="80"/>
        <v>0</v>
      </c>
      <c r="K35" s="354">
        <f t="shared" si="80"/>
        <v>0</v>
      </c>
      <c r="L35" s="131">
        <f t="shared" si="1"/>
        <v>0</v>
      </c>
      <c r="M35" s="89">
        <f t="shared" si="2"/>
        <v>490</v>
      </c>
      <c r="N35" s="55"/>
      <c r="O35" s="55"/>
      <c r="P35" s="55"/>
      <c r="Q35" s="55">
        <v>0</v>
      </c>
      <c r="R35" s="55">
        <v>180</v>
      </c>
      <c r="S35" s="55">
        <v>0</v>
      </c>
      <c r="T35" s="55">
        <v>100</v>
      </c>
      <c r="U35" s="55">
        <v>80</v>
      </c>
      <c r="V35" s="123">
        <v>130</v>
      </c>
      <c r="W35" s="170"/>
      <c r="X35" s="370"/>
      <c r="Y35" s="172">
        <f t="shared" si="4"/>
        <v>42905.009900018616</v>
      </c>
      <c r="Z35" s="309"/>
      <c r="AA35" s="309"/>
    </row>
    <row r="36" spans="1:27" ht="15.6">
      <c r="A36" s="79"/>
      <c r="B36" s="274"/>
      <c r="C36" s="122"/>
      <c r="D36" s="122">
        <f t="shared" si="42"/>
        <v>0</v>
      </c>
      <c r="E36" s="242">
        <f t="shared" si="55"/>
        <v>0</v>
      </c>
      <c r="F36" s="133">
        <f t="shared" si="56"/>
        <v>0</v>
      </c>
      <c r="G36" s="242">
        <f t="shared" si="57"/>
        <v>0</v>
      </c>
      <c r="H36" s="88">
        <f t="shared" si="58"/>
        <v>0</v>
      </c>
      <c r="I36" s="88">
        <f t="shared" si="59"/>
        <v>0</v>
      </c>
      <c r="J36" s="352">
        <f t="shared" si="53"/>
        <v>0</v>
      </c>
      <c r="K36" s="354">
        <f t="shared" si="54"/>
        <v>0</v>
      </c>
      <c r="L36" s="131">
        <f t="shared" si="1"/>
        <v>0</v>
      </c>
      <c r="M36" s="89">
        <f t="shared" si="2"/>
        <v>530</v>
      </c>
      <c r="N36" s="55"/>
      <c r="O36" s="55"/>
      <c r="P36" s="55">
        <v>93.008940580742149</v>
      </c>
      <c r="Q36" s="55">
        <v>0</v>
      </c>
      <c r="R36" s="55">
        <v>244.0960519028404</v>
      </c>
      <c r="S36" s="55">
        <v>0</v>
      </c>
      <c r="T36" s="55">
        <v>0</v>
      </c>
      <c r="U36" s="55">
        <v>70</v>
      </c>
      <c r="V36" s="123">
        <v>122.89500751641745</v>
      </c>
      <c r="W36" s="170"/>
      <c r="X36" s="370"/>
      <c r="Y36" s="172">
        <f t="shared" si="4"/>
        <v>42905.009900018616</v>
      </c>
      <c r="Z36" s="297"/>
      <c r="AA36" s="297"/>
    </row>
    <row r="37" spans="1:27" ht="15.6">
      <c r="A37" s="79"/>
      <c r="B37" s="274"/>
      <c r="C37" s="122"/>
      <c r="D37" s="122">
        <f t="shared" si="42"/>
        <v>0</v>
      </c>
      <c r="E37" s="242">
        <f t="shared" si="55"/>
        <v>0</v>
      </c>
      <c r="F37" s="133">
        <f t="shared" si="56"/>
        <v>0</v>
      </c>
      <c r="G37" s="242">
        <f t="shared" si="57"/>
        <v>0</v>
      </c>
      <c r="H37" s="88">
        <f t="shared" si="58"/>
        <v>0</v>
      </c>
      <c r="I37" s="88">
        <f t="shared" si="59"/>
        <v>0</v>
      </c>
      <c r="J37" s="88">
        <f>$B37/$M37*U37</f>
        <v>0</v>
      </c>
      <c r="K37" s="354">
        <f>$B37/$M37*V37</f>
        <v>0</v>
      </c>
      <c r="L37" s="131">
        <f t="shared" si="1"/>
        <v>0</v>
      </c>
      <c r="M37" s="89">
        <f t="shared" si="2"/>
        <v>530</v>
      </c>
      <c r="N37" s="55"/>
      <c r="O37" s="55"/>
      <c r="P37" s="55">
        <v>93.008940580742149</v>
      </c>
      <c r="Q37" s="55">
        <v>0</v>
      </c>
      <c r="R37" s="55">
        <v>244.0960519028404</v>
      </c>
      <c r="S37" s="55">
        <v>0</v>
      </c>
      <c r="T37" s="55">
        <v>0</v>
      </c>
      <c r="U37" s="55"/>
      <c r="V37" s="123">
        <v>192.89500751641745</v>
      </c>
      <c r="W37" s="170"/>
      <c r="X37" s="370"/>
      <c r="Y37" s="172">
        <f t="shared" ref="Y37:Y65" si="81">L36/24+Y36</f>
        <v>42905.009900018616</v>
      </c>
      <c r="Z37" s="308"/>
      <c r="AA37" s="308"/>
    </row>
    <row r="38" spans="1:27" ht="15.6">
      <c r="A38" s="79"/>
      <c r="B38" s="274"/>
      <c r="C38" s="122"/>
      <c r="D38" s="122">
        <f t="shared" ref="D38" si="82">$B38/$M38*O38</f>
        <v>0</v>
      </c>
      <c r="E38" s="242">
        <f t="shared" ref="E38" si="83">$B38/$M38*P38</f>
        <v>0</v>
      </c>
      <c r="F38" s="133">
        <f t="shared" ref="F38" si="84">$B38/$M38*Q38</f>
        <v>0</v>
      </c>
      <c r="G38" s="242">
        <f t="shared" ref="G38" si="85">$B38/$M38*R38</f>
        <v>0</v>
      </c>
      <c r="H38" s="88">
        <f t="shared" ref="H38" si="86">$B38/$M38*S38</f>
        <v>0</v>
      </c>
      <c r="I38" s="88">
        <f t="shared" ref="I38" si="87">$B38/$M38*T38</f>
        <v>0</v>
      </c>
      <c r="J38" s="88">
        <f>$B38/$M38*U38</f>
        <v>0</v>
      </c>
      <c r="K38" s="352">
        <f>$B38/$M38*V38</f>
        <v>0</v>
      </c>
      <c r="L38" s="131">
        <f t="shared" ref="L38" si="88">B38/M38</f>
        <v>0</v>
      </c>
      <c r="M38" s="89">
        <f t="shared" ref="M38" si="89">SUM(N38:V38)</f>
        <v>530</v>
      </c>
      <c r="N38" s="55"/>
      <c r="O38" s="55"/>
      <c r="P38" s="55">
        <v>93.008940580742149</v>
      </c>
      <c r="Q38" s="55">
        <v>0</v>
      </c>
      <c r="R38" s="55">
        <v>244.0960519028404</v>
      </c>
      <c r="S38" s="55">
        <v>0</v>
      </c>
      <c r="T38" s="55">
        <v>0</v>
      </c>
      <c r="U38" s="55"/>
      <c r="V38" s="123">
        <v>192.89500751641745</v>
      </c>
      <c r="W38" s="170"/>
      <c r="X38" s="370"/>
      <c r="Y38" s="172">
        <f t="shared" si="81"/>
        <v>42905.009900018616</v>
      </c>
      <c r="Z38" s="343"/>
      <c r="AA38" s="343"/>
    </row>
    <row r="39" spans="1:27" ht="15.6">
      <c r="A39" s="79"/>
      <c r="B39" s="144"/>
      <c r="C39" s="122"/>
      <c r="D39" s="122">
        <f t="shared" si="42"/>
        <v>0</v>
      </c>
      <c r="E39" s="88">
        <f>$B39/$M39*P39</f>
        <v>0</v>
      </c>
      <c r="F39" s="133">
        <f>$B39/$M39*Q39</f>
        <v>0</v>
      </c>
      <c r="G39" s="88">
        <f>$B39/$M39*R39</f>
        <v>0</v>
      </c>
      <c r="H39" s="88">
        <f>$B39/$M39*S39</f>
        <v>0</v>
      </c>
      <c r="I39" s="88">
        <f>$B39/$M39*T39</f>
        <v>0</v>
      </c>
      <c r="J39" s="88">
        <f t="shared" si="53"/>
        <v>0</v>
      </c>
      <c r="K39" s="88">
        <f t="shared" si="54"/>
        <v>0</v>
      </c>
      <c r="L39" s="131">
        <f t="shared" si="1"/>
        <v>0</v>
      </c>
      <c r="M39" s="89">
        <f t="shared" si="2"/>
        <v>530</v>
      </c>
      <c r="N39" s="55"/>
      <c r="O39" s="55"/>
      <c r="P39" s="55">
        <v>93.008940580742149</v>
      </c>
      <c r="Q39" s="55">
        <v>0</v>
      </c>
      <c r="R39" s="55">
        <v>244.0960519028404</v>
      </c>
      <c r="S39" s="55">
        <v>0</v>
      </c>
      <c r="T39" s="55">
        <v>0</v>
      </c>
      <c r="U39" s="55"/>
      <c r="V39" s="123">
        <v>192.89500751641745</v>
      </c>
      <c r="W39" s="170"/>
      <c r="X39" s="370"/>
      <c r="Y39" s="172">
        <f t="shared" si="81"/>
        <v>42905.009900018616</v>
      </c>
      <c r="Z39" s="297"/>
      <c r="AA39" s="297"/>
    </row>
    <row r="40" spans="1:27" ht="15.6">
      <c r="A40" s="79"/>
      <c r="B40" s="144"/>
      <c r="C40" s="122"/>
      <c r="D40" s="122">
        <f t="shared" si="42"/>
        <v>0</v>
      </c>
      <c r="E40" s="88">
        <f t="shared" ref="E40:H40" si="90">$B40/$M40*P40</f>
        <v>0</v>
      </c>
      <c r="F40" s="133">
        <f t="shared" si="90"/>
        <v>0</v>
      </c>
      <c r="G40" s="88">
        <f t="shared" si="90"/>
        <v>0</v>
      </c>
      <c r="H40" s="88">
        <f t="shared" si="90"/>
        <v>0</v>
      </c>
      <c r="I40" s="88">
        <f t="shared" ref="I40:I70" si="91">$B40/$M40*T40</f>
        <v>0</v>
      </c>
      <c r="J40" s="88">
        <f t="shared" ref="J40:J70" si="92">$B40/$M40*U40</f>
        <v>0</v>
      </c>
      <c r="K40" s="88">
        <f t="shared" ref="K40:K70" si="93">$B40/$M40*V40</f>
        <v>0</v>
      </c>
      <c r="L40" s="131">
        <f t="shared" si="1"/>
        <v>0</v>
      </c>
      <c r="M40" s="89">
        <f t="shared" si="2"/>
        <v>530</v>
      </c>
      <c r="N40" s="55"/>
      <c r="O40" s="55"/>
      <c r="P40" s="55">
        <v>93.008940580742149</v>
      </c>
      <c r="Q40" s="55">
        <v>0</v>
      </c>
      <c r="R40" s="55">
        <v>244.0960519028404</v>
      </c>
      <c r="S40" s="55">
        <v>0</v>
      </c>
      <c r="T40" s="55">
        <v>0</v>
      </c>
      <c r="U40" s="55"/>
      <c r="V40" s="123">
        <v>192.89500751641745</v>
      </c>
      <c r="W40" s="330"/>
      <c r="X40" s="372"/>
      <c r="Y40" s="172">
        <f t="shared" si="81"/>
        <v>42905.009900018616</v>
      </c>
      <c r="Z40" s="243"/>
      <c r="AA40" s="243"/>
    </row>
    <row r="41" spans="1:27" ht="15.6">
      <c r="A41" s="79"/>
      <c r="B41" s="144"/>
      <c r="C41" s="122"/>
      <c r="D41" s="122">
        <f t="shared" si="42"/>
        <v>0</v>
      </c>
      <c r="E41" s="88">
        <f t="shared" ref="E41" si="94">$B41/$M41*P41</f>
        <v>0</v>
      </c>
      <c r="F41" s="133">
        <f t="shared" ref="F41" si="95">$B41/$M41*Q41</f>
        <v>0</v>
      </c>
      <c r="G41" s="88">
        <f t="shared" ref="G41" si="96">$B41/$M41*R41</f>
        <v>0</v>
      </c>
      <c r="H41" s="88">
        <f t="shared" ref="H41" si="97">$B41/$M41*S41</f>
        <v>0</v>
      </c>
      <c r="I41" s="88">
        <f t="shared" ref="I41" si="98">$B41/$M41*T41</f>
        <v>0</v>
      </c>
      <c r="J41" s="88">
        <f t="shared" ref="J41" si="99">$B41/$M41*U41</f>
        <v>0</v>
      </c>
      <c r="K41" s="88">
        <f t="shared" ref="K41" si="100">$B41/$M41*V41</f>
        <v>0</v>
      </c>
      <c r="L41" s="131">
        <f t="shared" ref="L41" si="101">B41/M41</f>
        <v>0</v>
      </c>
      <c r="M41" s="89">
        <f t="shared" ref="M41" si="102">SUM(N41:V41)</f>
        <v>530</v>
      </c>
      <c r="N41" s="55"/>
      <c r="O41" s="55"/>
      <c r="P41" s="55">
        <v>93.008940580742149</v>
      </c>
      <c r="Q41" s="55">
        <v>0</v>
      </c>
      <c r="R41" s="55">
        <v>244.0960519028404</v>
      </c>
      <c r="S41" s="55">
        <v>0</v>
      </c>
      <c r="T41" s="55">
        <v>0</v>
      </c>
      <c r="U41" s="55"/>
      <c r="V41" s="123">
        <v>192.89500751641745</v>
      </c>
      <c r="W41" s="289"/>
      <c r="X41" s="371"/>
      <c r="Y41" s="172">
        <f t="shared" si="81"/>
        <v>42905.009900018616</v>
      </c>
      <c r="Z41" s="318"/>
      <c r="AA41" s="318"/>
    </row>
    <row r="42" spans="1:27" ht="15.6">
      <c r="A42" s="79"/>
      <c r="B42" s="144"/>
      <c r="C42" s="122"/>
      <c r="D42" s="122"/>
      <c r="E42" s="88">
        <f t="shared" ref="E42" si="103">$B42/$M42*P42</f>
        <v>0</v>
      </c>
      <c r="F42" s="133">
        <f t="shared" ref="F42" si="104">$B42/$M42*Q42</f>
        <v>0</v>
      </c>
      <c r="G42" s="88">
        <f t="shared" ref="G42" si="105">$B42/$M42*R42</f>
        <v>0</v>
      </c>
      <c r="H42" s="88">
        <f t="shared" ref="H42" si="106">$B42/$M42*S42</f>
        <v>0</v>
      </c>
      <c r="I42" s="88">
        <f t="shared" ref="I42" si="107">$B42/$M42*T42</f>
        <v>0</v>
      </c>
      <c r="J42" s="88">
        <f t="shared" ref="J42" si="108">$B42/$M42*U42</f>
        <v>0</v>
      </c>
      <c r="K42" s="88">
        <f t="shared" ref="K42" si="109">$B42/$M42*V42</f>
        <v>0</v>
      </c>
      <c r="L42" s="131">
        <f t="shared" ref="L42" si="110">B42/M42</f>
        <v>0</v>
      </c>
      <c r="M42" s="89">
        <f t="shared" ref="M42" si="111">SUM(N42:V42)</f>
        <v>530</v>
      </c>
      <c r="N42" s="55"/>
      <c r="O42" s="55"/>
      <c r="P42" s="55">
        <v>93.008940580742149</v>
      </c>
      <c r="Q42" s="55">
        <v>0</v>
      </c>
      <c r="R42" s="55">
        <v>244.0960519028404</v>
      </c>
      <c r="S42" s="55">
        <v>0</v>
      </c>
      <c r="T42" s="55">
        <v>0</v>
      </c>
      <c r="U42" s="55"/>
      <c r="V42" s="123">
        <v>192.89500751641745</v>
      </c>
      <c r="W42" s="289"/>
      <c r="X42" s="371"/>
      <c r="Y42" s="172">
        <f t="shared" si="81"/>
        <v>42905.009900018616</v>
      </c>
      <c r="Z42" s="324"/>
      <c r="AA42" s="324"/>
    </row>
    <row r="43" spans="1:27" ht="15.6">
      <c r="A43" s="79"/>
      <c r="B43" s="144"/>
      <c r="C43" s="122"/>
      <c r="D43" s="122"/>
      <c r="E43" s="88">
        <f t="shared" ref="E43:E70" si="112">$B43/$M43*P43</f>
        <v>0</v>
      </c>
      <c r="F43" s="133">
        <f t="shared" ref="F43:F70" si="113">$B43/$M43*Q43</f>
        <v>0</v>
      </c>
      <c r="G43" s="88">
        <f t="shared" ref="G43:G70" si="114">$B43/$M43*R43</f>
        <v>0</v>
      </c>
      <c r="H43" s="88">
        <f t="shared" ref="H43:H70" si="115">$B43/$M43*S43</f>
        <v>0</v>
      </c>
      <c r="I43" s="88">
        <f t="shared" si="91"/>
        <v>0</v>
      </c>
      <c r="J43" s="88">
        <f t="shared" si="92"/>
        <v>0</v>
      </c>
      <c r="K43" s="88">
        <f t="shared" si="93"/>
        <v>0</v>
      </c>
      <c r="L43" s="131">
        <f t="shared" si="1"/>
        <v>0</v>
      </c>
      <c r="M43" s="89">
        <f t="shared" si="2"/>
        <v>530</v>
      </c>
      <c r="N43" s="55"/>
      <c r="O43" s="55"/>
      <c r="P43" s="55">
        <v>93.008940580742149</v>
      </c>
      <c r="Q43" s="55">
        <v>0</v>
      </c>
      <c r="R43" s="55">
        <v>244.0960519028404</v>
      </c>
      <c r="S43" s="55">
        <v>0</v>
      </c>
      <c r="T43" s="55">
        <v>0</v>
      </c>
      <c r="U43" s="55"/>
      <c r="V43" s="123">
        <v>192.89500751641745</v>
      </c>
      <c r="W43" s="289"/>
      <c r="X43" s="371"/>
      <c r="Y43" s="172">
        <f t="shared" si="81"/>
        <v>42905.009900018616</v>
      </c>
      <c r="Z43" s="300"/>
      <c r="AA43" s="300"/>
    </row>
    <row r="44" spans="1:27" ht="15.6">
      <c r="A44" s="79"/>
      <c r="B44" s="144"/>
      <c r="C44" s="122"/>
      <c r="D44" s="122"/>
      <c r="E44" s="88">
        <f t="shared" ref="E44" si="116">$B44/$M44*P44</f>
        <v>0</v>
      </c>
      <c r="F44" s="133">
        <f t="shared" ref="F44" si="117">$B44/$M44*Q44</f>
        <v>0</v>
      </c>
      <c r="G44" s="88">
        <f t="shared" ref="G44" si="118">$B44/$M44*R44</f>
        <v>0</v>
      </c>
      <c r="H44" s="88">
        <f t="shared" ref="H44" si="119">$B44/$M44*S44</f>
        <v>0</v>
      </c>
      <c r="I44" s="88">
        <f t="shared" ref="I44" si="120">$B44/$M44*T44</f>
        <v>0</v>
      </c>
      <c r="J44" s="88">
        <f t="shared" ref="J44" si="121">$B44/$M44*U44</f>
        <v>0</v>
      </c>
      <c r="K44" s="88">
        <f t="shared" ref="K44" si="122">$B44/$M44*V44</f>
        <v>0</v>
      </c>
      <c r="L44" s="131">
        <f t="shared" ref="L44" si="123">B44/M44</f>
        <v>0</v>
      </c>
      <c r="M44" s="89">
        <f t="shared" ref="M44" si="124">SUM(N44:V44)</f>
        <v>530</v>
      </c>
      <c r="N44" s="55"/>
      <c r="O44" s="55"/>
      <c r="P44" s="55">
        <v>93.008940580742149</v>
      </c>
      <c r="Q44" s="55">
        <v>0</v>
      </c>
      <c r="R44" s="55">
        <v>244.0960519028404</v>
      </c>
      <c r="S44" s="55">
        <v>0</v>
      </c>
      <c r="T44" s="55">
        <v>0</v>
      </c>
      <c r="U44" s="55"/>
      <c r="V44" s="123">
        <v>192.89500751641745</v>
      </c>
      <c r="W44" s="289"/>
      <c r="X44" s="371"/>
      <c r="Y44" s="172">
        <f t="shared" si="81"/>
        <v>42905.009900018616</v>
      </c>
      <c r="Z44" s="310"/>
      <c r="AA44" s="310"/>
    </row>
    <row r="45" spans="1:27" ht="15.6">
      <c r="A45" s="79"/>
      <c r="B45" s="144"/>
      <c r="C45" s="122">
        <f t="shared" ref="C45" si="125">$B45/$M45*N45</f>
        <v>0</v>
      </c>
      <c r="D45" s="122">
        <f t="shared" ref="D45" si="126">$B45/$M45*O45</f>
        <v>0</v>
      </c>
      <c r="E45" s="88">
        <f t="shared" ref="E45" si="127">$B45/$M45*P45</f>
        <v>0</v>
      </c>
      <c r="F45" s="133">
        <f t="shared" ref="F45" si="128">$B45/$M45*Q45</f>
        <v>0</v>
      </c>
      <c r="G45" s="88">
        <f t="shared" ref="G45" si="129">$B45/$M45*R45</f>
        <v>0</v>
      </c>
      <c r="H45" s="88">
        <f t="shared" ref="H45" si="130">$B45/$M45*S45</f>
        <v>0</v>
      </c>
      <c r="I45" s="88">
        <f t="shared" ref="I45" si="131">$B45/$M45*T45</f>
        <v>0</v>
      </c>
      <c r="J45" s="88">
        <f t="shared" ref="J45" si="132">$B45/$M45*U45</f>
        <v>0</v>
      </c>
      <c r="K45" s="88">
        <f t="shared" ref="K45" si="133">$B45/$M45*V45</f>
        <v>0</v>
      </c>
      <c r="L45" s="131">
        <f t="shared" ref="L45" si="134">B45/M45</f>
        <v>0</v>
      </c>
      <c r="M45" s="89">
        <f t="shared" ref="M45" si="135">SUM(N45:V45)</f>
        <v>530</v>
      </c>
      <c r="N45" s="55"/>
      <c r="O45" s="55"/>
      <c r="P45" s="55">
        <v>146.89925842984471</v>
      </c>
      <c r="Q45" s="55">
        <v>0</v>
      </c>
      <c r="R45" s="55">
        <v>186.69061462135227</v>
      </c>
      <c r="S45" s="55">
        <v>0</v>
      </c>
      <c r="T45" s="55">
        <v>0</v>
      </c>
      <c r="U45" s="55">
        <v>0</v>
      </c>
      <c r="V45" s="123">
        <v>196.41012694880303</v>
      </c>
      <c r="W45" s="289"/>
      <c r="X45" s="371"/>
      <c r="Y45" s="172">
        <f t="shared" si="81"/>
        <v>42905.009900018616</v>
      </c>
      <c r="Z45" s="318"/>
      <c r="AA45" s="318"/>
    </row>
    <row r="46" spans="1:27" ht="15.6">
      <c r="A46" s="79"/>
      <c r="B46" s="144"/>
      <c r="C46" s="122">
        <f t="shared" ref="C46:C70" si="136">$B46/$M46*N46</f>
        <v>0</v>
      </c>
      <c r="D46" s="122">
        <f t="shared" ref="D46:D70" si="137">$B46/$M46*O46</f>
        <v>0</v>
      </c>
      <c r="E46" s="88">
        <f t="shared" si="112"/>
        <v>0</v>
      </c>
      <c r="F46" s="133">
        <f t="shared" si="113"/>
        <v>0</v>
      </c>
      <c r="G46" s="88">
        <f t="shared" si="114"/>
        <v>0</v>
      </c>
      <c r="H46" s="88">
        <f t="shared" si="115"/>
        <v>0</v>
      </c>
      <c r="I46" s="88">
        <f t="shared" si="91"/>
        <v>0</v>
      </c>
      <c r="J46" s="88">
        <f t="shared" si="92"/>
        <v>0</v>
      </c>
      <c r="K46" s="88">
        <f t="shared" si="93"/>
        <v>0</v>
      </c>
      <c r="L46" s="131">
        <f t="shared" si="1"/>
        <v>0</v>
      </c>
      <c r="M46" s="89">
        <f t="shared" si="2"/>
        <v>642.40740740740739</v>
      </c>
      <c r="N46" s="55"/>
      <c r="O46" s="55"/>
      <c r="P46" s="55"/>
      <c r="Q46" s="55">
        <v>0</v>
      </c>
      <c r="R46" s="55">
        <v>120</v>
      </c>
      <c r="S46" s="55">
        <v>200</v>
      </c>
      <c r="T46" s="55">
        <v>132.40740740740742</v>
      </c>
      <c r="U46" s="55">
        <v>40</v>
      </c>
      <c r="V46" s="123">
        <v>150</v>
      </c>
      <c r="W46" s="170"/>
      <c r="X46" s="370"/>
      <c r="Y46" s="172">
        <f t="shared" si="81"/>
        <v>42905.009900018616</v>
      </c>
      <c r="Z46" s="261"/>
      <c r="AA46" s="261"/>
    </row>
    <row r="47" spans="1:27" ht="15.6">
      <c r="A47" s="79"/>
      <c r="B47" s="144"/>
      <c r="C47" s="122">
        <f t="shared" si="136"/>
        <v>0</v>
      </c>
      <c r="D47" s="122">
        <f t="shared" si="137"/>
        <v>0</v>
      </c>
      <c r="E47" s="88">
        <f t="shared" si="112"/>
        <v>0</v>
      </c>
      <c r="F47" s="88">
        <f t="shared" si="113"/>
        <v>0</v>
      </c>
      <c r="G47" s="88">
        <f t="shared" si="114"/>
        <v>0</v>
      </c>
      <c r="H47" s="88">
        <f t="shared" si="115"/>
        <v>0</v>
      </c>
      <c r="I47" s="88">
        <f t="shared" si="91"/>
        <v>0</v>
      </c>
      <c r="J47" s="88">
        <f t="shared" si="92"/>
        <v>0</v>
      </c>
      <c r="K47" s="88">
        <f t="shared" si="93"/>
        <v>0</v>
      </c>
      <c r="L47" s="131">
        <f t="shared" si="1"/>
        <v>0</v>
      </c>
      <c r="M47" s="89">
        <f t="shared" si="2"/>
        <v>642.40740740740739</v>
      </c>
      <c r="N47" s="55"/>
      <c r="O47" s="55"/>
      <c r="P47" s="55"/>
      <c r="Q47" s="55">
        <v>0</v>
      </c>
      <c r="R47" s="55">
        <v>120</v>
      </c>
      <c r="S47" s="55">
        <v>200</v>
      </c>
      <c r="T47" s="55">
        <v>132.40740740740742</v>
      </c>
      <c r="U47" s="55">
        <v>55</v>
      </c>
      <c r="V47" s="123">
        <v>135</v>
      </c>
      <c r="W47" s="170"/>
      <c r="X47" s="370"/>
      <c r="Y47" s="172">
        <f t="shared" si="81"/>
        <v>42905.009900018616</v>
      </c>
      <c r="Z47" s="301"/>
      <c r="AA47" s="301"/>
    </row>
    <row r="48" spans="1:27" ht="15.6">
      <c r="A48" s="79"/>
      <c r="B48" s="144"/>
      <c r="C48" s="122">
        <f t="shared" si="136"/>
        <v>0</v>
      </c>
      <c r="D48" s="122">
        <f t="shared" si="137"/>
        <v>0</v>
      </c>
      <c r="E48" s="88">
        <f t="shared" si="112"/>
        <v>0</v>
      </c>
      <c r="F48" s="88">
        <f t="shared" si="113"/>
        <v>0</v>
      </c>
      <c r="G48" s="88">
        <f t="shared" si="114"/>
        <v>0</v>
      </c>
      <c r="H48" s="88">
        <f t="shared" si="115"/>
        <v>0</v>
      </c>
      <c r="I48" s="88">
        <f t="shared" si="91"/>
        <v>0</v>
      </c>
      <c r="J48" s="88">
        <f t="shared" si="92"/>
        <v>0</v>
      </c>
      <c r="K48" s="88">
        <f t="shared" si="93"/>
        <v>0</v>
      </c>
      <c r="L48" s="131">
        <f t="shared" ref="L48:L65" si="138">B48/M48</f>
        <v>0</v>
      </c>
      <c r="M48" s="89">
        <f t="shared" ref="M48:M65" si="139">SUM(N48:V48)</f>
        <v>517.33333333333337</v>
      </c>
      <c r="N48" s="55"/>
      <c r="O48" s="55"/>
      <c r="P48" s="55"/>
      <c r="Q48" s="55">
        <v>0</v>
      </c>
      <c r="R48" s="55"/>
      <c r="S48" s="55">
        <v>200</v>
      </c>
      <c r="T48" s="55">
        <v>128.33333333333334</v>
      </c>
      <c r="U48" s="55">
        <v>54</v>
      </c>
      <c r="V48" s="123">
        <v>135</v>
      </c>
      <c r="W48" s="170"/>
      <c r="X48" s="370"/>
      <c r="Y48" s="172">
        <f t="shared" si="81"/>
        <v>42905.009900018616</v>
      </c>
      <c r="Z48" s="299"/>
      <c r="AA48" s="299"/>
    </row>
    <row r="49" spans="1:27" ht="15.6">
      <c r="A49" s="79"/>
      <c r="B49" s="144"/>
      <c r="C49" s="122">
        <f t="shared" si="136"/>
        <v>0</v>
      </c>
      <c r="D49" s="122">
        <f t="shared" si="137"/>
        <v>0</v>
      </c>
      <c r="E49" s="132">
        <f t="shared" si="112"/>
        <v>0</v>
      </c>
      <c r="F49" s="327">
        <f t="shared" si="113"/>
        <v>0</v>
      </c>
      <c r="G49" s="132">
        <f t="shared" si="114"/>
        <v>0</v>
      </c>
      <c r="H49" s="132">
        <f t="shared" si="115"/>
        <v>0</v>
      </c>
      <c r="I49" s="132">
        <f t="shared" si="91"/>
        <v>0</v>
      </c>
      <c r="J49" s="132">
        <f t="shared" si="92"/>
        <v>0</v>
      </c>
      <c r="K49" s="132">
        <f t="shared" si="93"/>
        <v>0</v>
      </c>
      <c r="L49" s="131">
        <f t="shared" si="138"/>
        <v>0</v>
      </c>
      <c r="M49" s="89">
        <f t="shared" si="139"/>
        <v>517.33333333333337</v>
      </c>
      <c r="N49" s="55"/>
      <c r="O49" s="55"/>
      <c r="P49" s="55"/>
      <c r="Q49" s="55">
        <v>0</v>
      </c>
      <c r="R49" s="55"/>
      <c r="S49" s="55">
        <v>200</v>
      </c>
      <c r="T49" s="55">
        <v>128.33333333333334</v>
      </c>
      <c r="U49" s="55">
        <v>54</v>
      </c>
      <c r="V49" s="123">
        <v>135</v>
      </c>
      <c r="W49" s="170"/>
      <c r="X49" s="370"/>
      <c r="Y49" s="172">
        <f t="shared" si="81"/>
        <v>42905.009900018616</v>
      </c>
      <c r="Z49" s="297"/>
      <c r="AA49" s="297"/>
    </row>
    <row r="50" spans="1:27" ht="15.6">
      <c r="A50" s="79"/>
      <c r="B50" s="144"/>
      <c r="C50" s="122">
        <f t="shared" si="136"/>
        <v>0</v>
      </c>
      <c r="D50" s="122">
        <f t="shared" si="137"/>
        <v>0</v>
      </c>
      <c r="E50" s="88">
        <f t="shared" si="112"/>
        <v>0</v>
      </c>
      <c r="F50" s="133">
        <f t="shared" si="113"/>
        <v>0</v>
      </c>
      <c r="G50" s="88">
        <f t="shared" si="114"/>
        <v>0</v>
      </c>
      <c r="H50" s="88">
        <f t="shared" si="115"/>
        <v>0</v>
      </c>
      <c r="I50" s="88">
        <f t="shared" si="91"/>
        <v>0</v>
      </c>
      <c r="J50" s="88">
        <f t="shared" si="92"/>
        <v>0</v>
      </c>
      <c r="K50" s="88">
        <f t="shared" si="93"/>
        <v>0</v>
      </c>
      <c r="L50" s="131">
        <f t="shared" si="138"/>
        <v>0</v>
      </c>
      <c r="M50" s="89">
        <f t="shared" si="139"/>
        <v>517.33333333333337</v>
      </c>
      <c r="N50" s="55"/>
      <c r="O50" s="55"/>
      <c r="P50" s="55"/>
      <c r="Q50" s="55">
        <v>0</v>
      </c>
      <c r="R50" s="55"/>
      <c r="S50" s="55">
        <v>200</v>
      </c>
      <c r="T50" s="55">
        <v>128.33333333333334</v>
      </c>
      <c r="U50" s="55">
        <v>54</v>
      </c>
      <c r="V50" s="123">
        <v>135</v>
      </c>
      <c r="W50" s="170"/>
      <c r="X50" s="370"/>
      <c r="Y50" s="172">
        <f t="shared" si="81"/>
        <v>42905.009900018616</v>
      </c>
      <c r="Z50" s="307"/>
      <c r="AA50" s="307"/>
    </row>
    <row r="51" spans="1:27" ht="15.6">
      <c r="A51" s="79"/>
      <c r="B51" s="144"/>
      <c r="C51" s="122">
        <f t="shared" si="136"/>
        <v>0</v>
      </c>
      <c r="D51" s="122">
        <f t="shared" si="137"/>
        <v>0</v>
      </c>
      <c r="E51" s="88">
        <f t="shared" si="112"/>
        <v>0</v>
      </c>
      <c r="F51" s="133">
        <f t="shared" si="113"/>
        <v>0</v>
      </c>
      <c r="G51" s="88">
        <f t="shared" si="114"/>
        <v>0</v>
      </c>
      <c r="H51" s="88">
        <f t="shared" si="115"/>
        <v>0</v>
      </c>
      <c r="I51" s="88">
        <f t="shared" si="91"/>
        <v>0</v>
      </c>
      <c r="J51" s="88">
        <f t="shared" si="92"/>
        <v>0</v>
      </c>
      <c r="K51" s="88">
        <f t="shared" si="93"/>
        <v>0</v>
      </c>
      <c r="L51" s="131">
        <f t="shared" si="138"/>
        <v>0</v>
      </c>
      <c r="M51" s="89">
        <f t="shared" si="139"/>
        <v>517.33333333333337</v>
      </c>
      <c r="N51" s="55"/>
      <c r="O51" s="55"/>
      <c r="P51" s="55"/>
      <c r="Q51" s="55">
        <v>0</v>
      </c>
      <c r="R51" s="55"/>
      <c r="S51" s="55">
        <v>200</v>
      </c>
      <c r="T51" s="55">
        <v>128.33333333333334</v>
      </c>
      <c r="U51" s="55">
        <v>54</v>
      </c>
      <c r="V51" s="123">
        <v>135</v>
      </c>
      <c r="W51" s="170"/>
      <c r="X51" s="370"/>
      <c r="Y51" s="172">
        <f t="shared" si="81"/>
        <v>42905.009900018616</v>
      </c>
      <c r="Z51" s="301"/>
      <c r="AA51" s="301"/>
    </row>
    <row r="52" spans="1:27" ht="15.6">
      <c r="A52" s="79"/>
      <c r="B52" s="144"/>
      <c r="C52" s="122">
        <f t="shared" si="136"/>
        <v>0</v>
      </c>
      <c r="D52" s="122">
        <f t="shared" si="137"/>
        <v>0</v>
      </c>
      <c r="E52" s="88">
        <f t="shared" si="112"/>
        <v>0</v>
      </c>
      <c r="F52" s="88">
        <f t="shared" si="113"/>
        <v>0</v>
      </c>
      <c r="G52" s="88">
        <f t="shared" si="114"/>
        <v>0</v>
      </c>
      <c r="H52" s="88">
        <f t="shared" si="115"/>
        <v>0</v>
      </c>
      <c r="I52" s="88">
        <f t="shared" si="91"/>
        <v>0</v>
      </c>
      <c r="J52" s="88">
        <f t="shared" si="92"/>
        <v>0</v>
      </c>
      <c r="K52" s="88">
        <f t="shared" si="93"/>
        <v>0</v>
      </c>
      <c r="L52" s="131">
        <f t="shared" si="138"/>
        <v>0</v>
      </c>
      <c r="M52" s="89">
        <f t="shared" si="139"/>
        <v>517.33333333333337</v>
      </c>
      <c r="N52" s="55"/>
      <c r="O52" s="55"/>
      <c r="P52" s="55"/>
      <c r="Q52" s="55">
        <v>0</v>
      </c>
      <c r="R52" s="55"/>
      <c r="S52" s="55">
        <v>200</v>
      </c>
      <c r="T52" s="55">
        <v>128.33333333333334</v>
      </c>
      <c r="U52" s="55">
        <v>54</v>
      </c>
      <c r="V52" s="123">
        <v>135</v>
      </c>
      <c r="W52" s="170"/>
      <c r="X52" s="370"/>
      <c r="Y52" s="172">
        <f t="shared" si="81"/>
        <v>42905.009900018616</v>
      </c>
      <c r="Z52" s="261"/>
      <c r="AA52" s="261"/>
    </row>
    <row r="53" spans="1:27" ht="15.6">
      <c r="A53" s="79"/>
      <c r="B53" s="144"/>
      <c r="C53" s="122">
        <f t="shared" si="136"/>
        <v>0</v>
      </c>
      <c r="D53" s="122">
        <f t="shared" si="137"/>
        <v>0</v>
      </c>
      <c r="E53" s="88">
        <f t="shared" si="112"/>
        <v>0</v>
      </c>
      <c r="F53" s="88">
        <f t="shared" si="113"/>
        <v>0</v>
      </c>
      <c r="G53" s="88">
        <f t="shared" si="114"/>
        <v>0</v>
      </c>
      <c r="H53" s="88">
        <f t="shared" si="115"/>
        <v>0</v>
      </c>
      <c r="I53" s="88">
        <f t="shared" si="91"/>
        <v>0</v>
      </c>
      <c r="J53" s="88">
        <f t="shared" si="92"/>
        <v>0</v>
      </c>
      <c r="K53" s="88">
        <f t="shared" si="93"/>
        <v>0</v>
      </c>
      <c r="L53" s="131">
        <f t="shared" si="138"/>
        <v>0</v>
      </c>
      <c r="M53" s="89">
        <f t="shared" si="139"/>
        <v>485</v>
      </c>
      <c r="N53" s="55"/>
      <c r="O53" s="55"/>
      <c r="P53" s="55"/>
      <c r="Q53" s="55">
        <v>0</v>
      </c>
      <c r="R53" s="55"/>
      <c r="S53" s="55">
        <v>260</v>
      </c>
      <c r="T53" s="55">
        <v>0</v>
      </c>
      <c r="U53" s="55">
        <v>45</v>
      </c>
      <c r="V53" s="123">
        <v>180</v>
      </c>
      <c r="W53" s="170"/>
      <c r="X53" s="370"/>
      <c r="Y53" s="172">
        <f t="shared" si="81"/>
        <v>42905.009900018616</v>
      </c>
      <c r="Z53" s="309"/>
      <c r="AA53" s="309"/>
    </row>
    <row r="54" spans="1:27" ht="15.6">
      <c r="A54" s="79"/>
      <c r="B54" s="144"/>
      <c r="C54" s="122">
        <f t="shared" si="136"/>
        <v>0</v>
      </c>
      <c r="D54" s="122">
        <f t="shared" si="137"/>
        <v>0</v>
      </c>
      <c r="E54" s="88">
        <f t="shared" si="112"/>
        <v>0</v>
      </c>
      <c r="F54" s="88">
        <f t="shared" si="113"/>
        <v>0</v>
      </c>
      <c r="G54" s="88">
        <f t="shared" si="114"/>
        <v>0</v>
      </c>
      <c r="H54" s="88">
        <f t="shared" si="115"/>
        <v>0</v>
      </c>
      <c r="I54" s="88">
        <f t="shared" si="91"/>
        <v>0</v>
      </c>
      <c r="J54" s="88">
        <f t="shared" si="92"/>
        <v>0</v>
      </c>
      <c r="K54" s="88">
        <f t="shared" si="93"/>
        <v>0</v>
      </c>
      <c r="L54" s="131">
        <f t="shared" si="138"/>
        <v>0</v>
      </c>
      <c r="M54" s="89">
        <f t="shared" si="139"/>
        <v>480</v>
      </c>
      <c r="N54" s="55"/>
      <c r="O54" s="55"/>
      <c r="P54" s="55"/>
      <c r="Q54" s="55">
        <v>0</v>
      </c>
      <c r="R54" s="55"/>
      <c r="S54" s="55">
        <v>260</v>
      </c>
      <c r="T54" s="55">
        <v>0</v>
      </c>
      <c r="U54" s="55"/>
      <c r="V54" s="123">
        <v>220</v>
      </c>
      <c r="W54" s="170"/>
      <c r="X54" s="370"/>
      <c r="Y54" s="172">
        <f t="shared" si="81"/>
        <v>42905.009900018616</v>
      </c>
      <c r="Z54" s="300"/>
      <c r="AA54" s="300"/>
    </row>
    <row r="55" spans="1:27" ht="15.6">
      <c r="A55" s="79"/>
      <c r="B55" s="144"/>
      <c r="C55" s="122">
        <f t="shared" ref="C55" si="140">$B55/$M55*N55</f>
        <v>0</v>
      </c>
      <c r="D55" s="122">
        <f t="shared" ref="D55" si="141">$B55/$M55*O55</f>
        <v>0</v>
      </c>
      <c r="E55" s="88">
        <f t="shared" ref="E55" si="142">$B55/$M55*P55</f>
        <v>0</v>
      </c>
      <c r="F55" s="88">
        <f t="shared" ref="F55" si="143">$B55/$M55*Q55</f>
        <v>0</v>
      </c>
      <c r="G55" s="88">
        <f t="shared" ref="G55" si="144">$B55/$M55*R55</f>
        <v>0</v>
      </c>
      <c r="H55" s="88">
        <f t="shared" ref="H55" si="145">$B55/$M55*S55</f>
        <v>0</v>
      </c>
      <c r="I55" s="88">
        <f t="shared" ref="I55" si="146">$B55/$M55*T55</f>
        <v>0</v>
      </c>
      <c r="J55" s="88">
        <f t="shared" ref="J55" si="147">$B55/$M55*U55</f>
        <v>0</v>
      </c>
      <c r="K55" s="88">
        <f t="shared" ref="K55" si="148">$B55/$M55*V55</f>
        <v>0</v>
      </c>
      <c r="L55" s="131">
        <f t="shared" ref="L55" si="149">B55/M55</f>
        <v>0</v>
      </c>
      <c r="M55" s="89">
        <f t="shared" ref="M55" si="150">SUM(N55:V55)</f>
        <v>480</v>
      </c>
      <c r="N55" s="55"/>
      <c r="O55" s="55"/>
      <c r="P55" s="55"/>
      <c r="Q55" s="55">
        <v>0</v>
      </c>
      <c r="R55" s="55"/>
      <c r="S55" s="55">
        <v>260</v>
      </c>
      <c r="T55" s="55">
        <v>0</v>
      </c>
      <c r="U55" s="55"/>
      <c r="V55" s="123">
        <v>220</v>
      </c>
      <c r="W55" s="170"/>
      <c r="X55" s="370"/>
      <c r="Y55" s="172">
        <f t="shared" si="81"/>
        <v>42905.009900018616</v>
      </c>
      <c r="Z55" s="326"/>
      <c r="AA55" s="326"/>
    </row>
    <row r="56" spans="1:27" ht="15.6">
      <c r="A56" s="79"/>
      <c r="B56" s="144"/>
      <c r="C56" s="122">
        <f t="shared" si="136"/>
        <v>0</v>
      </c>
      <c r="D56" s="122">
        <f t="shared" si="137"/>
        <v>0</v>
      </c>
      <c r="E56" s="88">
        <f t="shared" si="112"/>
        <v>0</v>
      </c>
      <c r="F56" s="88">
        <f t="shared" si="113"/>
        <v>0</v>
      </c>
      <c r="G56" s="88">
        <f t="shared" si="114"/>
        <v>0</v>
      </c>
      <c r="H56" s="88">
        <f t="shared" si="115"/>
        <v>0</v>
      </c>
      <c r="I56" s="88">
        <f t="shared" si="91"/>
        <v>0</v>
      </c>
      <c r="J56" s="88">
        <f t="shared" si="92"/>
        <v>0</v>
      </c>
      <c r="K56" s="88">
        <f t="shared" si="93"/>
        <v>0</v>
      </c>
      <c r="L56" s="131">
        <f t="shared" si="138"/>
        <v>0</v>
      </c>
      <c r="M56" s="89">
        <f t="shared" si="139"/>
        <v>550</v>
      </c>
      <c r="N56" s="55"/>
      <c r="O56" s="55">
        <v>37.382639248891188</v>
      </c>
      <c r="P56" s="55">
        <v>311.73319509244857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123">
        <v>200.88416565866021</v>
      </c>
      <c r="W56" s="170"/>
      <c r="X56" s="370"/>
      <c r="Y56" s="172">
        <f t="shared" si="81"/>
        <v>42905.009900018616</v>
      </c>
      <c r="Z56" s="268"/>
      <c r="AA56" s="268"/>
    </row>
    <row r="57" spans="1:27" ht="15.6">
      <c r="A57" s="79"/>
      <c r="B57" s="144"/>
      <c r="C57" s="122">
        <f t="shared" si="136"/>
        <v>0</v>
      </c>
      <c r="D57" s="122">
        <f t="shared" si="137"/>
        <v>0</v>
      </c>
      <c r="E57" s="88">
        <f t="shared" si="112"/>
        <v>0</v>
      </c>
      <c r="F57" s="88">
        <f t="shared" si="113"/>
        <v>0</v>
      </c>
      <c r="G57" s="88">
        <f t="shared" si="114"/>
        <v>0</v>
      </c>
      <c r="H57" s="88">
        <f t="shared" si="115"/>
        <v>0</v>
      </c>
      <c r="I57" s="88">
        <f t="shared" si="91"/>
        <v>0</v>
      </c>
      <c r="J57" s="88">
        <f t="shared" si="92"/>
        <v>0</v>
      </c>
      <c r="K57" s="88">
        <f t="shared" si="93"/>
        <v>0</v>
      </c>
      <c r="L57" s="131">
        <f t="shared" si="138"/>
        <v>0</v>
      </c>
      <c r="M57" s="89">
        <f t="shared" si="139"/>
        <v>550</v>
      </c>
      <c r="N57" s="55"/>
      <c r="O57" s="55">
        <v>37.382639248891188</v>
      </c>
      <c r="P57" s="55">
        <v>311.73319509244857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123">
        <v>200.88416565866021</v>
      </c>
      <c r="W57" s="170"/>
      <c r="X57" s="370"/>
      <c r="Y57" s="172">
        <f t="shared" si="81"/>
        <v>42905.009900018616</v>
      </c>
      <c r="Z57" s="301"/>
      <c r="AA57" s="301"/>
    </row>
    <row r="58" spans="1:27" ht="15.6">
      <c r="A58" s="79"/>
      <c r="B58" s="144"/>
      <c r="C58" s="122">
        <f t="shared" ref="C58" si="151">$B58/$M58*N58</f>
        <v>0</v>
      </c>
      <c r="D58" s="122">
        <f t="shared" ref="D58" si="152">$B58/$M58*O58</f>
        <v>0</v>
      </c>
      <c r="E58" s="88">
        <f t="shared" ref="E58" si="153">$B58/$M58*P58</f>
        <v>0</v>
      </c>
      <c r="F58" s="88">
        <f t="shared" ref="F58" si="154">$B58/$M58*Q58</f>
        <v>0</v>
      </c>
      <c r="G58" s="88">
        <f t="shared" ref="G58" si="155">$B58/$M58*R58</f>
        <v>0</v>
      </c>
      <c r="H58" s="88">
        <f t="shared" ref="H58" si="156">$B58/$M58*S58</f>
        <v>0</v>
      </c>
      <c r="I58" s="88">
        <f t="shared" ref="I58" si="157">$B58/$M58*T58</f>
        <v>0</v>
      </c>
      <c r="J58" s="88">
        <f t="shared" ref="J58" si="158">$B58/$M58*U58</f>
        <v>0</v>
      </c>
      <c r="K58" s="88">
        <f t="shared" ref="K58" si="159">$B58/$M58*V58</f>
        <v>0</v>
      </c>
      <c r="L58" s="131">
        <f t="shared" ref="L58" si="160">B58/M58</f>
        <v>0</v>
      </c>
      <c r="M58" s="89">
        <f t="shared" ref="M58" si="161">SUM(N58:V58)</f>
        <v>550</v>
      </c>
      <c r="N58" s="55"/>
      <c r="O58" s="55">
        <v>37.382639248891188</v>
      </c>
      <c r="P58" s="55">
        <v>311.73319509244857</v>
      </c>
      <c r="Q58" s="55">
        <v>0</v>
      </c>
      <c r="R58" s="55">
        <v>0</v>
      </c>
      <c r="S58" s="55">
        <v>0</v>
      </c>
      <c r="T58" s="55">
        <v>0</v>
      </c>
      <c r="U58" s="55">
        <v>0</v>
      </c>
      <c r="V58" s="123">
        <v>200.88416565866021</v>
      </c>
      <c r="W58" s="170"/>
      <c r="X58" s="370"/>
      <c r="Y58" s="172">
        <f t="shared" si="81"/>
        <v>42905.009900018616</v>
      </c>
      <c r="Z58" s="318"/>
      <c r="AA58" s="318"/>
    </row>
    <row r="59" spans="1:27" ht="15.6">
      <c r="A59" s="79"/>
      <c r="B59" s="144"/>
      <c r="C59" s="122">
        <f t="shared" si="136"/>
        <v>0</v>
      </c>
      <c r="D59" s="122">
        <f t="shared" si="137"/>
        <v>0</v>
      </c>
      <c r="E59" s="88">
        <f t="shared" si="112"/>
        <v>0</v>
      </c>
      <c r="F59" s="88">
        <f t="shared" si="113"/>
        <v>0</v>
      </c>
      <c r="G59" s="88">
        <f t="shared" si="114"/>
        <v>0</v>
      </c>
      <c r="H59" s="88">
        <f t="shared" si="115"/>
        <v>0</v>
      </c>
      <c r="I59" s="88">
        <f t="shared" si="91"/>
        <v>0</v>
      </c>
      <c r="J59" s="88">
        <f t="shared" si="92"/>
        <v>0</v>
      </c>
      <c r="K59" s="88">
        <f t="shared" si="93"/>
        <v>0</v>
      </c>
      <c r="L59" s="131">
        <f t="shared" si="138"/>
        <v>0</v>
      </c>
      <c r="M59" s="89">
        <f t="shared" si="139"/>
        <v>550</v>
      </c>
      <c r="N59" s="55"/>
      <c r="O59" s="55">
        <v>37.382639248891188</v>
      </c>
      <c r="P59" s="55">
        <v>311.73319509244857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123">
        <v>200.88416565866021</v>
      </c>
      <c r="W59" s="289"/>
      <c r="X59" s="371"/>
      <c r="Y59" s="172">
        <f t="shared" si="81"/>
        <v>42905.009900018616</v>
      </c>
      <c r="Z59"/>
      <c r="AA59"/>
    </row>
    <row r="60" spans="1:27" ht="15.6">
      <c r="A60" s="79"/>
      <c r="B60" s="144"/>
      <c r="C60" s="122">
        <f t="shared" si="136"/>
        <v>0</v>
      </c>
      <c r="D60" s="122">
        <f t="shared" si="137"/>
        <v>0</v>
      </c>
      <c r="E60" s="88">
        <f t="shared" si="112"/>
        <v>0</v>
      </c>
      <c r="F60" s="88">
        <f t="shared" si="113"/>
        <v>0</v>
      </c>
      <c r="G60" s="88">
        <f t="shared" si="114"/>
        <v>0</v>
      </c>
      <c r="H60" s="88">
        <f t="shared" si="115"/>
        <v>0</v>
      </c>
      <c r="I60" s="88">
        <f t="shared" si="91"/>
        <v>0</v>
      </c>
      <c r="J60" s="88">
        <f t="shared" si="92"/>
        <v>0</v>
      </c>
      <c r="K60" s="88">
        <f t="shared" si="93"/>
        <v>0</v>
      </c>
      <c r="L60" s="131">
        <f t="shared" si="138"/>
        <v>0</v>
      </c>
      <c r="M60" s="89">
        <f t="shared" si="139"/>
        <v>550</v>
      </c>
      <c r="N60" s="55"/>
      <c r="O60" s="55">
        <v>37.382639248891188</v>
      </c>
      <c r="P60" s="55">
        <v>311.73319509244857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123">
        <v>200.88416565866021</v>
      </c>
      <c r="W60" s="170"/>
      <c r="X60" s="370"/>
      <c r="Y60" s="172">
        <f t="shared" si="81"/>
        <v>42905.009900018616</v>
      </c>
      <c r="Z60" s="261"/>
      <c r="AA60" s="261"/>
    </row>
    <row r="61" spans="1:27" ht="15.6">
      <c r="A61" s="79"/>
      <c r="B61" s="144"/>
      <c r="C61" s="122">
        <f t="shared" si="136"/>
        <v>0</v>
      </c>
      <c r="D61" s="122">
        <f t="shared" si="137"/>
        <v>0</v>
      </c>
      <c r="E61" s="88">
        <f t="shared" si="112"/>
        <v>0</v>
      </c>
      <c r="F61" s="88">
        <f t="shared" si="113"/>
        <v>0</v>
      </c>
      <c r="G61" s="88">
        <f t="shared" si="114"/>
        <v>0</v>
      </c>
      <c r="H61" s="88">
        <f t="shared" si="115"/>
        <v>0</v>
      </c>
      <c r="I61" s="88">
        <f t="shared" si="91"/>
        <v>0</v>
      </c>
      <c r="J61" s="88">
        <f t="shared" si="92"/>
        <v>0</v>
      </c>
      <c r="K61" s="88">
        <f t="shared" si="93"/>
        <v>0</v>
      </c>
      <c r="L61" s="131">
        <f t="shared" si="138"/>
        <v>0</v>
      </c>
      <c r="M61" s="144">
        <f t="shared" si="139"/>
        <v>550</v>
      </c>
      <c r="N61" s="88"/>
      <c r="O61" s="88">
        <v>37.382639248891188</v>
      </c>
      <c r="P61" s="88">
        <v>311.73319509244857</v>
      </c>
      <c r="Q61" s="88">
        <v>0</v>
      </c>
      <c r="R61" s="88">
        <v>0</v>
      </c>
      <c r="S61" s="88">
        <v>0</v>
      </c>
      <c r="T61" s="88">
        <v>0</v>
      </c>
      <c r="U61" s="88">
        <v>0</v>
      </c>
      <c r="V61" s="133">
        <v>200.88416565866021</v>
      </c>
      <c r="W61" s="329"/>
      <c r="X61" s="373"/>
      <c r="Y61" s="172">
        <f t="shared" si="81"/>
        <v>42905.009900018616</v>
      </c>
      <c r="Z61" s="284"/>
      <c r="AA61" s="284"/>
    </row>
    <row r="62" spans="1:27" ht="15.6">
      <c r="A62" s="79"/>
      <c r="B62" s="144"/>
      <c r="C62" s="122">
        <f t="shared" si="136"/>
        <v>0</v>
      </c>
      <c r="D62" s="122">
        <f t="shared" si="137"/>
        <v>0</v>
      </c>
      <c r="E62" s="88">
        <f t="shared" si="112"/>
        <v>0</v>
      </c>
      <c r="F62" s="88">
        <f t="shared" si="113"/>
        <v>0</v>
      </c>
      <c r="G62" s="88">
        <f t="shared" si="114"/>
        <v>0</v>
      </c>
      <c r="H62" s="88">
        <f t="shared" si="115"/>
        <v>0</v>
      </c>
      <c r="I62" s="88">
        <f t="shared" si="91"/>
        <v>0</v>
      </c>
      <c r="J62" s="88">
        <f t="shared" si="92"/>
        <v>0</v>
      </c>
      <c r="K62" s="88">
        <f t="shared" si="93"/>
        <v>0</v>
      </c>
      <c r="L62" s="131">
        <f t="shared" si="138"/>
        <v>0</v>
      </c>
      <c r="M62" s="144">
        <f t="shared" si="139"/>
        <v>500</v>
      </c>
      <c r="N62" s="88"/>
      <c r="O62" s="88"/>
      <c r="P62" s="88">
        <v>166.73944233048468</v>
      </c>
      <c r="Q62" s="88">
        <v>0</v>
      </c>
      <c r="R62" s="88">
        <v>120.11103486993949</v>
      </c>
      <c r="S62" s="88">
        <v>0</v>
      </c>
      <c r="T62" s="88">
        <v>0</v>
      </c>
      <c r="U62" s="88">
        <v>0</v>
      </c>
      <c r="V62" s="133">
        <v>213.14952279957583</v>
      </c>
      <c r="W62" s="329"/>
      <c r="X62" s="373"/>
      <c r="Y62" s="172">
        <f t="shared" si="81"/>
        <v>42905.009900018616</v>
      </c>
      <c r="Z62" s="307"/>
      <c r="AA62" s="307"/>
    </row>
    <row r="63" spans="1:27" ht="16.2" thickBot="1">
      <c r="A63" s="79"/>
      <c r="B63" s="144"/>
      <c r="C63" s="122">
        <f t="shared" si="136"/>
        <v>0</v>
      </c>
      <c r="D63" s="122">
        <f t="shared" si="137"/>
        <v>0</v>
      </c>
      <c r="E63" s="88">
        <f t="shared" si="112"/>
        <v>0</v>
      </c>
      <c r="F63" s="88">
        <f t="shared" si="113"/>
        <v>0</v>
      </c>
      <c r="G63" s="88">
        <f t="shared" si="114"/>
        <v>0</v>
      </c>
      <c r="H63" s="88">
        <f t="shared" si="115"/>
        <v>0</v>
      </c>
      <c r="I63" s="88">
        <f t="shared" si="91"/>
        <v>0</v>
      </c>
      <c r="J63" s="88">
        <f t="shared" si="92"/>
        <v>0</v>
      </c>
      <c r="K63" s="88">
        <f t="shared" si="93"/>
        <v>0</v>
      </c>
      <c r="L63" s="131">
        <f t="shared" si="138"/>
        <v>0</v>
      </c>
      <c r="M63" s="144">
        <f t="shared" si="139"/>
        <v>500</v>
      </c>
      <c r="N63" s="88"/>
      <c r="O63" s="88"/>
      <c r="P63" s="88">
        <v>166.73944233048468</v>
      </c>
      <c r="Q63" s="88">
        <v>0</v>
      </c>
      <c r="R63" s="88">
        <v>120.11103486993949</v>
      </c>
      <c r="S63" s="88">
        <v>0</v>
      </c>
      <c r="T63" s="88">
        <v>0</v>
      </c>
      <c r="U63" s="88">
        <v>0</v>
      </c>
      <c r="V63" s="133">
        <v>213.14952279957583</v>
      </c>
      <c r="W63" s="329"/>
      <c r="X63" s="373"/>
      <c r="Y63" s="172">
        <f t="shared" si="81"/>
        <v>42905.009900018616</v>
      </c>
      <c r="Z63" s="301"/>
      <c r="AA63" s="301"/>
    </row>
    <row r="64" spans="1:27" ht="16.2" thickBot="1">
      <c r="A64" s="79"/>
      <c r="B64" s="144"/>
      <c r="C64" s="122">
        <f t="shared" si="136"/>
        <v>0</v>
      </c>
      <c r="D64" s="122">
        <f t="shared" si="137"/>
        <v>0</v>
      </c>
      <c r="E64" s="88">
        <f t="shared" si="112"/>
        <v>0</v>
      </c>
      <c r="F64" s="133">
        <f t="shared" si="113"/>
        <v>0</v>
      </c>
      <c r="G64" s="323">
        <f t="shared" si="114"/>
        <v>0</v>
      </c>
      <c r="H64" s="156">
        <f t="shared" si="115"/>
        <v>0</v>
      </c>
      <c r="I64" s="156">
        <f t="shared" si="91"/>
        <v>0</v>
      </c>
      <c r="J64" s="156">
        <f t="shared" si="92"/>
        <v>0</v>
      </c>
      <c r="K64" s="262">
        <f t="shared" si="93"/>
        <v>0</v>
      </c>
      <c r="L64" s="131">
        <f t="shared" si="138"/>
        <v>0</v>
      </c>
      <c r="M64" s="144">
        <f t="shared" si="139"/>
        <v>513.5</v>
      </c>
      <c r="N64" s="88"/>
      <c r="O64" s="88"/>
      <c r="P64" s="88"/>
      <c r="Q64" s="88">
        <v>0</v>
      </c>
      <c r="R64" s="88"/>
      <c r="S64" s="88">
        <v>200</v>
      </c>
      <c r="T64" s="88">
        <v>123.5</v>
      </c>
      <c r="U64" s="88">
        <v>50</v>
      </c>
      <c r="V64" s="133">
        <v>140</v>
      </c>
      <c r="W64" s="329"/>
      <c r="X64" s="373"/>
      <c r="Y64" s="172">
        <f t="shared" si="81"/>
        <v>42905.009900018616</v>
      </c>
      <c r="Z64" s="301"/>
      <c r="AA64" s="301"/>
    </row>
    <row r="65" spans="1:27" ht="15.6">
      <c r="A65" s="79"/>
      <c r="B65" s="144"/>
      <c r="C65" s="122">
        <f t="shared" si="136"/>
        <v>0</v>
      </c>
      <c r="D65" s="122">
        <f t="shared" si="137"/>
        <v>0</v>
      </c>
      <c r="E65" s="88">
        <f t="shared" si="112"/>
        <v>0</v>
      </c>
      <c r="F65" s="133">
        <f t="shared" si="113"/>
        <v>0</v>
      </c>
      <c r="G65" s="88">
        <f t="shared" si="114"/>
        <v>0</v>
      </c>
      <c r="H65" s="88">
        <f t="shared" si="115"/>
        <v>0</v>
      </c>
      <c r="I65" s="88">
        <f t="shared" si="91"/>
        <v>0</v>
      </c>
      <c r="J65" s="88">
        <f t="shared" si="92"/>
        <v>0</v>
      </c>
      <c r="K65" s="88">
        <f t="shared" si="93"/>
        <v>0</v>
      </c>
      <c r="L65" s="131">
        <f t="shared" si="138"/>
        <v>0</v>
      </c>
      <c r="M65" s="144">
        <f t="shared" si="139"/>
        <v>500</v>
      </c>
      <c r="N65" s="88"/>
      <c r="O65" s="88"/>
      <c r="P65" s="88">
        <v>166.73944233048468</v>
      </c>
      <c r="Q65" s="88">
        <v>0</v>
      </c>
      <c r="R65" s="88">
        <v>120.11103486993949</v>
      </c>
      <c r="S65" s="88">
        <v>0</v>
      </c>
      <c r="T65" s="88">
        <v>0</v>
      </c>
      <c r="U65" s="88">
        <v>0</v>
      </c>
      <c r="V65" s="133">
        <v>213.14952279957583</v>
      </c>
      <c r="W65" s="329"/>
      <c r="X65" s="373"/>
      <c r="Y65" s="172">
        <f t="shared" si="81"/>
        <v>42905.009900018616</v>
      </c>
      <c r="Z65" s="305"/>
      <c r="AA65" s="305"/>
    </row>
    <row r="66" spans="1:27" ht="15.6">
      <c r="A66" s="79"/>
      <c r="B66" s="144"/>
      <c r="C66" s="122">
        <f t="shared" si="136"/>
        <v>0</v>
      </c>
      <c r="D66" s="122">
        <f t="shared" si="137"/>
        <v>0</v>
      </c>
      <c r="E66" s="88">
        <f t="shared" si="112"/>
        <v>0</v>
      </c>
      <c r="F66" s="88">
        <f t="shared" si="113"/>
        <v>0</v>
      </c>
      <c r="G66" s="88">
        <f t="shared" si="114"/>
        <v>0</v>
      </c>
      <c r="H66" s="88">
        <f t="shared" si="115"/>
        <v>0</v>
      </c>
      <c r="I66" s="88">
        <f t="shared" si="91"/>
        <v>0</v>
      </c>
      <c r="J66" s="88">
        <f t="shared" si="92"/>
        <v>0</v>
      </c>
      <c r="K66" s="88">
        <f t="shared" si="93"/>
        <v>0</v>
      </c>
      <c r="L66" s="131">
        <f t="shared" ref="L66:L71" si="162">B66/M66</f>
        <v>0</v>
      </c>
      <c r="M66" s="89">
        <f t="shared" ref="M66:M71" si="163">SUM(N66:V66)</f>
        <v>490</v>
      </c>
      <c r="N66" s="55"/>
      <c r="O66" s="55"/>
      <c r="P66" s="55">
        <v>120</v>
      </c>
      <c r="Q66" s="55">
        <v>0</v>
      </c>
      <c r="R66" s="55">
        <v>160</v>
      </c>
      <c r="S66" s="55"/>
      <c r="T66" s="55"/>
      <c r="U66" s="55"/>
      <c r="V66" s="123">
        <v>210</v>
      </c>
      <c r="W66" s="170"/>
      <c r="X66" s="370"/>
      <c r="Y66" s="172" t="e">
        <f>#REF!/24+#REF!</f>
        <v>#REF!</v>
      </c>
      <c r="Z66" s="297"/>
      <c r="AA66" s="297"/>
    </row>
    <row r="67" spans="1:27" ht="15.6">
      <c r="A67" s="79"/>
      <c r="B67" s="144"/>
      <c r="C67" s="122">
        <f t="shared" si="136"/>
        <v>0</v>
      </c>
      <c r="D67" s="122">
        <f t="shared" si="137"/>
        <v>0</v>
      </c>
      <c r="E67" s="88">
        <f t="shared" si="112"/>
        <v>0</v>
      </c>
      <c r="F67" s="88">
        <f t="shared" si="113"/>
        <v>0</v>
      </c>
      <c r="G67" s="88">
        <f t="shared" si="114"/>
        <v>0</v>
      </c>
      <c r="H67" s="88">
        <f t="shared" si="115"/>
        <v>0</v>
      </c>
      <c r="I67" s="88">
        <f t="shared" si="91"/>
        <v>0</v>
      </c>
      <c r="J67" s="88">
        <f t="shared" si="92"/>
        <v>0</v>
      </c>
      <c r="K67" s="88">
        <f t="shared" si="93"/>
        <v>0</v>
      </c>
      <c r="L67" s="131">
        <f t="shared" si="162"/>
        <v>0</v>
      </c>
      <c r="M67" s="89">
        <f t="shared" si="163"/>
        <v>490</v>
      </c>
      <c r="N67" s="55"/>
      <c r="O67" s="55"/>
      <c r="P67" s="55">
        <v>120</v>
      </c>
      <c r="Q67" s="55">
        <v>0</v>
      </c>
      <c r="R67" s="55">
        <v>160</v>
      </c>
      <c r="S67" s="55"/>
      <c r="T67" s="55"/>
      <c r="U67" s="55"/>
      <c r="V67" s="123">
        <v>210</v>
      </c>
      <c r="W67" s="170"/>
      <c r="X67" s="370"/>
      <c r="Y67" s="172" t="e">
        <f>L66/24+Y66</f>
        <v>#REF!</v>
      </c>
      <c r="Z67" s="284"/>
      <c r="AA67" s="284"/>
    </row>
    <row r="68" spans="1:27" ht="15.6">
      <c r="A68" s="79"/>
      <c r="B68" s="144"/>
      <c r="C68" s="122">
        <f t="shared" si="136"/>
        <v>0</v>
      </c>
      <c r="D68" s="122">
        <f t="shared" si="137"/>
        <v>0</v>
      </c>
      <c r="E68" s="88">
        <f t="shared" si="112"/>
        <v>0</v>
      </c>
      <c r="F68" s="88">
        <f t="shared" si="113"/>
        <v>0</v>
      </c>
      <c r="G68" s="88">
        <f t="shared" si="114"/>
        <v>0</v>
      </c>
      <c r="H68" s="88">
        <f t="shared" si="115"/>
        <v>0</v>
      </c>
      <c r="I68" s="88">
        <f t="shared" si="91"/>
        <v>0</v>
      </c>
      <c r="J68" s="88">
        <f t="shared" si="92"/>
        <v>0</v>
      </c>
      <c r="K68" s="88">
        <f t="shared" si="93"/>
        <v>0</v>
      </c>
      <c r="L68" s="131">
        <f t="shared" si="162"/>
        <v>0</v>
      </c>
      <c r="M68" s="89">
        <f t="shared" si="163"/>
        <v>490</v>
      </c>
      <c r="N68" s="55"/>
      <c r="O68" s="55"/>
      <c r="P68" s="55">
        <v>285</v>
      </c>
      <c r="Q68" s="55">
        <v>0</v>
      </c>
      <c r="R68" s="55"/>
      <c r="S68" s="55"/>
      <c r="T68" s="55"/>
      <c r="U68" s="55"/>
      <c r="V68" s="123">
        <v>205</v>
      </c>
      <c r="W68" s="170"/>
      <c r="X68" s="370"/>
      <c r="Y68" s="172" t="e">
        <f>L67/24+Y67</f>
        <v>#REF!</v>
      </c>
      <c r="Z68"/>
      <c r="AA68"/>
    </row>
    <row r="69" spans="1:27" ht="15.6">
      <c r="A69" s="79"/>
      <c r="B69" s="144"/>
      <c r="C69" s="122">
        <f t="shared" si="136"/>
        <v>0</v>
      </c>
      <c r="D69" s="122">
        <f t="shared" si="137"/>
        <v>0</v>
      </c>
      <c r="E69" s="88">
        <f t="shared" si="112"/>
        <v>0</v>
      </c>
      <c r="F69" s="133">
        <f t="shared" si="113"/>
        <v>0</v>
      </c>
      <c r="G69" s="88">
        <f t="shared" si="114"/>
        <v>0</v>
      </c>
      <c r="H69" s="88">
        <f t="shared" si="115"/>
        <v>0</v>
      </c>
      <c r="I69" s="88">
        <f t="shared" si="91"/>
        <v>0</v>
      </c>
      <c r="J69" s="88">
        <f t="shared" si="92"/>
        <v>0</v>
      </c>
      <c r="K69" s="88">
        <f t="shared" si="93"/>
        <v>0</v>
      </c>
      <c r="L69" s="131">
        <f t="shared" si="162"/>
        <v>0</v>
      </c>
      <c r="M69" s="89">
        <f t="shared" si="163"/>
        <v>510</v>
      </c>
      <c r="N69" s="55"/>
      <c r="O69" s="55"/>
      <c r="P69" s="55">
        <v>309.26358557643471</v>
      </c>
      <c r="Q69" s="55">
        <v>0</v>
      </c>
      <c r="R69" s="55">
        <v>0</v>
      </c>
      <c r="S69" s="55"/>
      <c r="T69" s="55">
        <v>0</v>
      </c>
      <c r="U69" s="55">
        <v>0</v>
      </c>
      <c r="V69" s="123">
        <v>200.73641442356526</v>
      </c>
      <c r="W69" s="170"/>
      <c r="X69" s="370"/>
      <c r="Y69" s="172" t="e">
        <f>L68/24+Y68</f>
        <v>#REF!</v>
      </c>
      <c r="Z69"/>
      <c r="AA69"/>
    </row>
    <row r="70" spans="1:27" ht="15.6">
      <c r="A70" s="79"/>
      <c r="B70" s="144"/>
      <c r="C70" s="122">
        <f t="shared" si="136"/>
        <v>0</v>
      </c>
      <c r="D70" s="122">
        <f t="shared" si="137"/>
        <v>0</v>
      </c>
      <c r="E70" s="88">
        <f t="shared" si="112"/>
        <v>0</v>
      </c>
      <c r="F70" s="133">
        <f t="shared" si="113"/>
        <v>0</v>
      </c>
      <c r="G70" s="88">
        <f t="shared" si="114"/>
        <v>0</v>
      </c>
      <c r="H70" s="88">
        <f t="shared" si="115"/>
        <v>0</v>
      </c>
      <c r="I70" s="88">
        <f t="shared" si="91"/>
        <v>0</v>
      </c>
      <c r="J70" s="88">
        <f t="shared" si="92"/>
        <v>0</v>
      </c>
      <c r="K70" s="88">
        <f t="shared" si="93"/>
        <v>0</v>
      </c>
      <c r="L70" s="131">
        <f t="shared" si="162"/>
        <v>0</v>
      </c>
      <c r="M70" s="89">
        <f t="shared" si="163"/>
        <v>325</v>
      </c>
      <c r="N70" s="55"/>
      <c r="O70" s="55"/>
      <c r="P70" s="55">
        <v>110</v>
      </c>
      <c r="Q70" s="55">
        <v>0</v>
      </c>
      <c r="R70" s="55"/>
      <c r="S70" s="55"/>
      <c r="T70" s="55"/>
      <c r="U70" s="55"/>
      <c r="V70" s="123">
        <v>215</v>
      </c>
      <c r="W70" s="170"/>
      <c r="X70" s="370"/>
      <c r="Y70" s="172" t="e">
        <f>L69/24+Y69</f>
        <v>#REF!</v>
      </c>
      <c r="Z70" s="290"/>
      <c r="AA70" s="290"/>
    </row>
    <row r="71" spans="1:27" ht="16.2" thickBot="1">
      <c r="A71" s="97"/>
      <c r="B71" s="76"/>
      <c r="C71" s="275">
        <f>$B71/$M71*N71</f>
        <v>0</v>
      </c>
      <c r="D71" s="72">
        <f t="shared" ref="D71:K71" si="164">$B71/$M71*O71</f>
        <v>0</v>
      </c>
      <c r="E71" s="71">
        <f t="shared" si="164"/>
        <v>0</v>
      </c>
      <c r="F71" s="71">
        <f t="shared" si="164"/>
        <v>0</v>
      </c>
      <c r="G71" s="71">
        <f t="shared" si="164"/>
        <v>0</v>
      </c>
      <c r="H71" s="71">
        <f t="shared" si="164"/>
        <v>0</v>
      </c>
      <c r="I71" s="71">
        <f t="shared" si="164"/>
        <v>0</v>
      </c>
      <c r="J71" s="71">
        <f t="shared" si="164"/>
        <v>0</v>
      </c>
      <c r="K71" s="71">
        <f t="shared" si="164"/>
        <v>0</v>
      </c>
      <c r="L71" s="118">
        <f t="shared" si="162"/>
        <v>0</v>
      </c>
      <c r="M71" s="90">
        <f t="shared" si="163"/>
        <v>1</v>
      </c>
      <c r="N71" s="70"/>
      <c r="O71" s="70"/>
      <c r="P71" s="70"/>
      <c r="Q71" s="70"/>
      <c r="R71" s="70">
        <v>1</v>
      </c>
      <c r="S71" s="70"/>
      <c r="T71" s="70"/>
      <c r="U71" s="70"/>
      <c r="V71" s="119"/>
      <c r="W71" s="174"/>
      <c r="X71" s="374"/>
      <c r="Y71" s="173" t="e">
        <f>#REF!/24+#REF!</f>
        <v>#REF!</v>
      </c>
    </row>
    <row r="72" spans="1:27">
      <c r="A72" s="53"/>
      <c r="B72" s="53" t="e">
        <f>SUM(#REF!)</f>
        <v>#REF!</v>
      </c>
      <c r="C72" s="157">
        <f>SUM(C8:C70)</f>
        <v>0</v>
      </c>
      <c r="D72" s="157"/>
      <c r="E72" s="157">
        <f>SUM(E4:E70)</f>
        <v>991.80666100914971</v>
      </c>
      <c r="F72" s="157" t="e">
        <f>SUM(#REF!,#REF!)</f>
        <v>#REF!</v>
      </c>
      <c r="G72" s="157">
        <f>SUM(G4:G70)</f>
        <v>962.16832198958764</v>
      </c>
      <c r="H72" s="304">
        <f>SUM(H4:H70)</f>
        <v>14.596683830629368</v>
      </c>
      <c r="I72" s="157">
        <f>SUM(I4:I69)</f>
        <v>28.054794520547944</v>
      </c>
      <c r="J72" s="157">
        <f>SUM(J8:J70)</f>
        <v>111.5</v>
      </c>
      <c r="K72" s="157">
        <f>SUM(K5:K70)</f>
        <v>335.21917808219177</v>
      </c>
      <c r="L72" s="157">
        <f>SUM(L8:L70)</f>
        <v>2.2332258064516131</v>
      </c>
      <c r="Y72" s="53"/>
    </row>
    <row r="73" spans="1:27">
      <c r="A73" s="53"/>
      <c r="B73" s="53">
        <v>69412</v>
      </c>
      <c r="C73" s="53">
        <v>52161.3615010543</v>
      </c>
      <c r="D73" s="157">
        <v>0</v>
      </c>
      <c r="E73" s="157">
        <f>批次!B19</f>
        <v>40956.732372986655</v>
      </c>
      <c r="F73" s="157">
        <v>0</v>
      </c>
      <c r="G73" s="157">
        <f>批次!B20</f>
        <v>62833.812282521874</v>
      </c>
      <c r="H73" s="304">
        <f>批次!B21</f>
        <v>0</v>
      </c>
      <c r="I73" s="157">
        <f>批次!B22</f>
        <v>18010.543002904298</v>
      </c>
      <c r="J73" s="157">
        <f>批次!B23</f>
        <v>3861.0343466245558</v>
      </c>
      <c r="K73" s="157">
        <f>批次!B24</f>
        <v>25174.101855507302</v>
      </c>
      <c r="L73" s="157" t="e">
        <f>B72/L72</f>
        <v>#REF!</v>
      </c>
      <c r="M73" s="96"/>
      <c r="Y73" s="53"/>
    </row>
    <row r="74" spans="1:27">
      <c r="A74" s="53"/>
      <c r="B74" s="53" t="e">
        <f t="shared" ref="B74:L74" si="165">B73-B72</f>
        <v>#REF!</v>
      </c>
      <c r="C74" s="157">
        <f t="shared" si="165"/>
        <v>52161.3615010543</v>
      </c>
      <c r="D74" s="157"/>
      <c r="E74" s="157">
        <f t="shared" si="165"/>
        <v>39964.925711977507</v>
      </c>
      <c r="F74" s="157" t="e">
        <f t="shared" si="165"/>
        <v>#REF!</v>
      </c>
      <c r="G74" s="157">
        <f t="shared" si="165"/>
        <v>61871.643960532288</v>
      </c>
      <c r="H74" s="304">
        <f t="shared" si="165"/>
        <v>-14.596683830629368</v>
      </c>
      <c r="I74" s="157">
        <f t="shared" si="165"/>
        <v>17982.488208383751</v>
      </c>
      <c r="J74" s="157">
        <f t="shared" si="165"/>
        <v>3749.5343466245558</v>
      </c>
      <c r="K74" s="157">
        <f t="shared" si="165"/>
        <v>24838.88267742511</v>
      </c>
      <c r="L74" s="157" t="e">
        <f t="shared" si="165"/>
        <v>#REF!</v>
      </c>
      <c r="Y74" s="53"/>
    </row>
    <row r="75" spans="1:27">
      <c r="D75" s="54"/>
      <c r="E75" s="95"/>
      <c r="L75" s="54"/>
      <c r="M75" s="96"/>
    </row>
    <row r="76" spans="1:27">
      <c r="D76" s="54"/>
      <c r="E76" s="95"/>
      <c r="L76" s="54"/>
      <c r="M76" s="96"/>
    </row>
    <row r="77" spans="1:27">
      <c r="D77" s="54"/>
      <c r="E77" s="95"/>
      <c r="L77" s="54"/>
      <c r="M77" s="96"/>
    </row>
    <row r="82" spans="25:25">
      <c r="Y82" s="325"/>
    </row>
  </sheetData>
  <dataConsolidate/>
  <mergeCells count="1">
    <mergeCell ref="B1:W1"/>
  </mergeCells>
  <phoneticPr fontId="9" type="noConversion"/>
  <printOptions horizontalCentered="1"/>
  <pageMargins left="0.25" right="0.25" top="0.75" bottom="0.75" header="0.3" footer="0.3"/>
  <pageSetup paperSize="9" scale="73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2532" r:id="rId4" name="cmdShoot">
          <controlPr defaultSize="0" autoLine="0" r:id="rId5">
            <anchor moveWithCells="1">
              <from>
                <xdr:col>23</xdr:col>
                <xdr:colOff>0</xdr:colOff>
                <xdr:row>0</xdr:row>
                <xdr:rowOff>121920</xdr:rowOff>
              </from>
              <to>
                <xdr:col>23</xdr:col>
                <xdr:colOff>746760</xdr:colOff>
                <xdr:row>1</xdr:row>
                <xdr:rowOff>129540</xdr:rowOff>
              </to>
            </anchor>
          </controlPr>
        </control>
      </mc:Choice>
      <mc:Fallback>
        <control shapeId="22532" r:id="rId4" name="cmdShoot"/>
      </mc:Fallback>
    </mc:AlternateContent>
    <mc:AlternateContent xmlns:mc="http://schemas.openxmlformats.org/markup-compatibility/2006">
      <mc:Choice Requires="x14">
        <control shapeId="22529" r:id="rId6" name="CommandButton1">
          <controlPr defaultSize="0" autoLine="0" r:id="rId7">
            <anchor moveWithCells="1">
              <from>
                <xdr:col>24</xdr:col>
                <xdr:colOff>106680</xdr:colOff>
                <xdr:row>0</xdr:row>
                <xdr:rowOff>137160</xdr:rowOff>
              </from>
              <to>
                <xdr:col>24</xdr:col>
                <xdr:colOff>815340</xdr:colOff>
                <xdr:row>1</xdr:row>
                <xdr:rowOff>137160</xdr:rowOff>
              </to>
            </anchor>
          </controlPr>
        </control>
      </mc:Choice>
      <mc:Fallback>
        <control shapeId="2252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C37"/>
  <sheetViews>
    <sheetView zoomScale="85" zoomScaleNormal="85" workbookViewId="0">
      <selection activeCell="K7" sqref="K7"/>
    </sheetView>
  </sheetViews>
  <sheetFormatPr defaultColWidth="9" defaultRowHeight="15.6"/>
  <cols>
    <col min="1" max="1" width="13.88671875" style="179" bestFit="1" customWidth="1"/>
    <col min="2" max="2" width="8.6640625" style="179" customWidth="1"/>
    <col min="3" max="3" width="8.88671875" style="179" customWidth="1"/>
    <col min="4" max="4" width="8.6640625" style="179" customWidth="1"/>
    <col min="5" max="5" width="10.109375" style="179" bestFit="1" customWidth="1"/>
    <col min="6" max="6" width="9.109375" style="179" customWidth="1"/>
    <col min="7" max="7" width="8.44140625" style="179" customWidth="1"/>
    <col min="8" max="8" width="7.77734375" style="179" customWidth="1"/>
    <col min="9" max="9" width="9.109375" style="179" customWidth="1"/>
    <col min="10" max="10" width="9.6640625" style="179" customWidth="1"/>
    <col min="11" max="11" width="10.44140625" style="179" customWidth="1"/>
    <col min="12" max="12" width="8.88671875" style="179" customWidth="1"/>
    <col min="13" max="13" width="8.77734375" style="179" customWidth="1"/>
    <col min="14" max="14" width="8.88671875" style="179" customWidth="1"/>
    <col min="15" max="15" width="9.21875" style="179" customWidth="1"/>
    <col min="16" max="17" width="9" style="179"/>
    <col min="18" max="18" width="12" style="179" bestFit="1" customWidth="1"/>
    <col min="19" max="19" width="9.44140625" style="179" customWidth="1"/>
    <col min="20" max="20" width="10" style="179" customWidth="1"/>
    <col min="21" max="21" width="9" style="179"/>
    <col min="22" max="22" width="12" style="179" bestFit="1" customWidth="1"/>
    <col min="23" max="23" width="12.77734375" style="179" bestFit="1" customWidth="1"/>
    <col min="24" max="24" width="9" style="179" customWidth="1"/>
    <col min="25" max="25" width="9.33203125" style="179" customWidth="1"/>
    <col min="26" max="26" width="9" style="179"/>
    <col min="27" max="27" width="10.109375" style="179" customWidth="1"/>
    <col min="28" max="28" width="10.33203125" style="179" customWidth="1"/>
    <col min="29" max="29" width="9" style="178"/>
    <col min="30" max="16384" width="9" style="179"/>
  </cols>
  <sheetData>
    <row r="1" spans="1:29" ht="31.2">
      <c r="A1" s="402" t="s">
        <v>155</v>
      </c>
      <c r="B1" s="402" t="s">
        <v>156</v>
      </c>
      <c r="C1" s="402" t="s">
        <v>157</v>
      </c>
      <c r="D1" s="402" t="s">
        <v>158</v>
      </c>
      <c r="E1" s="402" t="s">
        <v>159</v>
      </c>
      <c r="F1" s="402" t="s">
        <v>160</v>
      </c>
      <c r="G1" s="403" t="s">
        <v>161</v>
      </c>
      <c r="H1" s="404"/>
      <c r="I1" s="402" t="s">
        <v>162</v>
      </c>
      <c r="J1" s="175" t="s">
        <v>163</v>
      </c>
      <c r="K1" s="175" t="s">
        <v>164</v>
      </c>
      <c r="L1" s="402" t="s">
        <v>121</v>
      </c>
      <c r="M1" s="402" t="s">
        <v>165</v>
      </c>
      <c r="N1" s="402" t="s">
        <v>166</v>
      </c>
      <c r="O1" s="402" t="s">
        <v>167</v>
      </c>
      <c r="P1" s="402" t="s">
        <v>168</v>
      </c>
      <c r="Q1" s="29" t="s">
        <v>169</v>
      </c>
      <c r="R1" s="1">
        <v>0.85</v>
      </c>
      <c r="S1" s="2" t="s">
        <v>115</v>
      </c>
      <c r="T1" s="3">
        <v>4.5</v>
      </c>
      <c r="U1" s="4" t="s">
        <v>170</v>
      </c>
      <c r="V1" s="5">
        <v>0.73499999999999999</v>
      </c>
      <c r="W1" s="2" t="s">
        <v>116</v>
      </c>
      <c r="X1" s="1">
        <v>2</v>
      </c>
      <c r="Y1" s="6" t="s">
        <v>171</v>
      </c>
      <c r="Z1" s="7">
        <v>0.2</v>
      </c>
      <c r="AA1" s="8" t="s">
        <v>131</v>
      </c>
      <c r="AB1" s="33">
        <v>1</v>
      </c>
    </row>
    <row r="2" spans="1:29" ht="32.25" customHeight="1">
      <c r="A2" s="402"/>
      <c r="B2" s="402"/>
      <c r="C2" s="402"/>
      <c r="D2" s="402"/>
      <c r="E2" s="402"/>
      <c r="F2" s="402"/>
      <c r="G2" s="2" t="s">
        <v>172</v>
      </c>
      <c r="H2" s="2" t="s">
        <v>127</v>
      </c>
      <c r="I2" s="402"/>
      <c r="J2" s="175" t="s">
        <v>129</v>
      </c>
      <c r="K2" s="175" t="s">
        <v>129</v>
      </c>
      <c r="L2" s="402"/>
      <c r="M2" s="402"/>
      <c r="N2" s="402"/>
      <c r="O2" s="402"/>
      <c r="P2" s="402"/>
      <c r="Q2" s="29" t="s">
        <v>173</v>
      </c>
      <c r="R2" s="175" t="s">
        <v>174</v>
      </c>
      <c r="S2" s="175" t="s">
        <v>122</v>
      </c>
      <c r="T2" s="175" t="s">
        <v>130</v>
      </c>
      <c r="U2" s="9" t="s">
        <v>123</v>
      </c>
      <c r="V2" s="29" t="s">
        <v>173</v>
      </c>
      <c r="W2" s="175" t="s">
        <v>175</v>
      </c>
      <c r="X2" s="175" t="s">
        <v>124</v>
      </c>
      <c r="Y2" s="175" t="s">
        <v>125</v>
      </c>
      <c r="Z2" s="175" t="s">
        <v>126</v>
      </c>
      <c r="AA2" s="405" t="s">
        <v>146</v>
      </c>
      <c r="AB2" s="406"/>
      <c r="AC2" s="180" t="s">
        <v>176</v>
      </c>
    </row>
    <row r="3" spans="1:29">
      <c r="A3" s="175" t="s">
        <v>177</v>
      </c>
      <c r="B3" s="175" t="s">
        <v>128</v>
      </c>
      <c r="C3" s="175" t="s">
        <v>117</v>
      </c>
      <c r="D3" s="175" t="s">
        <v>113</v>
      </c>
      <c r="E3" s="175" t="s">
        <v>118</v>
      </c>
      <c r="F3" s="175" t="s">
        <v>112</v>
      </c>
      <c r="G3" s="175" t="s">
        <v>119</v>
      </c>
      <c r="H3" s="175" t="s">
        <v>120</v>
      </c>
      <c r="I3" s="175"/>
      <c r="J3" s="175"/>
      <c r="K3" s="175"/>
      <c r="L3" s="175"/>
      <c r="M3" s="175"/>
      <c r="N3" s="175"/>
      <c r="O3" s="175"/>
      <c r="P3" s="175" t="s">
        <v>118</v>
      </c>
      <c r="Q3" s="159"/>
      <c r="R3" s="175"/>
      <c r="S3" s="175"/>
      <c r="T3" s="175"/>
      <c r="U3" s="175"/>
      <c r="V3" s="175"/>
      <c r="W3" s="175"/>
      <c r="X3" s="161"/>
      <c r="Y3" s="175"/>
      <c r="Z3" s="175"/>
      <c r="AA3" s="2" t="s">
        <v>147</v>
      </c>
      <c r="AB3" s="2" t="s">
        <v>148</v>
      </c>
      <c r="AC3" s="180" t="s">
        <v>178</v>
      </c>
    </row>
    <row r="4" spans="1:29">
      <c r="A4" s="6" t="s">
        <v>263</v>
      </c>
      <c r="B4" s="158">
        <f>E4/((C4-2*D4)^2/4*PI())/1000</f>
        <v>113.40064040003767</v>
      </c>
      <c r="C4" s="10">
        <v>0.40639999999999998</v>
      </c>
      <c r="D4" s="10">
        <v>7.1000000000000004E-3</v>
      </c>
      <c r="E4" s="11">
        <v>13700</v>
      </c>
      <c r="F4" s="49">
        <f>SUM(C15:K15)</f>
        <v>900</v>
      </c>
      <c r="G4" s="10">
        <v>54</v>
      </c>
      <c r="H4" s="10">
        <v>36</v>
      </c>
      <c r="I4" s="7">
        <v>0.1</v>
      </c>
      <c r="J4" s="7"/>
      <c r="K4" s="7"/>
      <c r="L4" s="7" t="s">
        <v>371</v>
      </c>
      <c r="M4" s="155">
        <f>M22-I4</f>
        <v>6.9999961073800634</v>
      </c>
      <c r="N4" s="30">
        <f>(U4+Z4)*$AB$1</f>
        <v>5.5661560004533674</v>
      </c>
      <c r="O4" s="155">
        <f>(M4-N4)*(F4&gt;0)</f>
        <v>1.4338401069266959</v>
      </c>
      <c r="P4" s="12">
        <f t="shared" ref="P4:P13" si="0">4*F4/3600/PI()/POWER((C4-2*D4),2)</f>
        <v>2.0693547518255051</v>
      </c>
      <c r="Q4" s="48">
        <f t="shared" ref="Q4:Q13" si="1">4*F4/3600/PI()/(C4-2*D4)/($T$1*10^(-6))</f>
        <v>180355.76303688064</v>
      </c>
      <c r="R4" s="14">
        <f t="shared" ref="R4:R13" si="2">0.0246*(F4/3600)^1.75*($T$1*10^(-6))^0.25/(C4-D4*2)^4.75</f>
        <v>8.5402818047983029E-3</v>
      </c>
      <c r="S4" s="160">
        <f>IF($L4="汽",0,IF($K4-$J4&gt;0,($K4-$J4)/E4*B4,(E4+$K4-$J4)/E4*B4))</f>
        <v>0</v>
      </c>
      <c r="T4" s="15">
        <f>R4*B4*1000</f>
        <v>968.47342586091713</v>
      </c>
      <c r="U4" s="12">
        <f>$R$1*(T4+H4-G4)*9.8/1000*S4/B4</f>
        <v>0</v>
      </c>
      <c r="V4" s="13">
        <f t="shared" ref="V4:V13" si="3">4*F4/3600/PI()/(C4-2*D4)/($X$1*10^(-6))</f>
        <v>405800.4668329815</v>
      </c>
      <c r="W4" s="14">
        <f t="shared" ref="W4:W13" si="4">0.0246*(F4/3600)^1.75*($X$1*10^(-6))^0.25/(C4-D4*2)^4.75</f>
        <v>6.9731108937770856E-3</v>
      </c>
      <c r="X4" s="160">
        <f>B4-S4</f>
        <v>113.40064040003767</v>
      </c>
      <c r="Y4" s="163">
        <f>W4*B4*1000</f>
        <v>790.75524093480055</v>
      </c>
      <c r="Z4" s="30">
        <f>(Y4+H4-G4)*9.8*$V$1/1000*X4/B4</f>
        <v>5.5661560004533674</v>
      </c>
      <c r="AA4" s="31">
        <v>0</v>
      </c>
      <c r="AB4" s="31">
        <v>9</v>
      </c>
      <c r="AC4" s="181">
        <v>9.1999999999999993</v>
      </c>
    </row>
    <row r="5" spans="1:29" ht="16.2" hidden="1" thickBot="1">
      <c r="A5" s="10" t="s">
        <v>179</v>
      </c>
      <c r="B5" s="158">
        <f t="shared" ref="B5:B13" si="5">E5/((C5-2*D5)^2/4*PI())/1000</f>
        <v>8.2774190073020187E-6</v>
      </c>
      <c r="C5" s="10">
        <v>0.40639999999999998</v>
      </c>
      <c r="D5" s="10">
        <v>7.1000000000000004E-3</v>
      </c>
      <c r="E5" s="11">
        <v>1E-3</v>
      </c>
      <c r="F5" s="49">
        <f>SUM(D15:K15)</f>
        <v>900</v>
      </c>
      <c r="G5" s="10">
        <v>36</v>
      </c>
      <c r="H5" s="10">
        <v>53</v>
      </c>
      <c r="I5" s="7">
        <v>0</v>
      </c>
      <c r="J5" s="7"/>
      <c r="K5" s="7"/>
      <c r="L5" s="7"/>
      <c r="M5" s="155">
        <f>O4-I5</f>
        <v>1.4338401069266959</v>
      </c>
      <c r="N5" s="236">
        <f t="shared" ref="N5:N12" si="6">(U5+Z5)*$AB$1</f>
        <v>0.14161058886011951</v>
      </c>
      <c r="O5" s="298">
        <f t="shared" ref="O5:O13" si="7">(M5-N5)*(F5&gt;0)</f>
        <v>1.2922295180665764</v>
      </c>
      <c r="P5" s="237">
        <f t="shared" si="0"/>
        <v>2.0693547518255051</v>
      </c>
      <c r="Q5" s="48">
        <f t="shared" si="1"/>
        <v>180355.76303688064</v>
      </c>
      <c r="R5" s="14">
        <f t="shared" si="2"/>
        <v>8.5402818047983029E-3</v>
      </c>
      <c r="S5" s="160">
        <f t="shared" ref="S5:S13" si="8">IF($L5="汽",0,IF($K5-$J5&gt;0,($K5-$J5)/E5*B5,(E5+$K5-$J5)/E5*B5))</f>
        <v>8.2774190073020187E-6</v>
      </c>
      <c r="T5" s="15">
        <f>R5*B5*1000</f>
        <v>7.0691490938753061E-5</v>
      </c>
      <c r="U5" s="12">
        <f t="shared" ref="U5:U13" si="9">$R$1*(T5+H5-G5)*9.8/1000*S5/B5</f>
        <v>0.14161058886011951</v>
      </c>
      <c r="V5" s="13">
        <f t="shared" si="3"/>
        <v>405800.4668329815</v>
      </c>
      <c r="W5" s="14">
        <f t="shared" si="4"/>
        <v>6.9731108937770856E-3</v>
      </c>
      <c r="X5" s="160">
        <f t="shared" ref="X5:X13" si="10">B5-S5</f>
        <v>0</v>
      </c>
      <c r="Y5" s="163">
        <f t="shared" ref="Y5:Y13" si="11">W5*B5*1000</f>
        <v>5.7719360652175212E-5</v>
      </c>
      <c r="Z5" s="30">
        <f t="shared" ref="Z5:Z13" si="12">(Y5+H5-G5)*9.8*$V$1/1000*X5/B5</f>
        <v>0</v>
      </c>
      <c r="AA5" s="31">
        <v>0.5</v>
      </c>
      <c r="AB5" s="31">
        <v>6.2</v>
      </c>
      <c r="AC5" s="181">
        <v>9.1999999999999993</v>
      </c>
    </row>
    <row r="6" spans="1:29" ht="16.2" thickBot="1">
      <c r="A6" s="6" t="s">
        <v>180</v>
      </c>
      <c r="B6" s="158">
        <f t="shared" si="5"/>
        <v>55.955352489361658</v>
      </c>
      <c r="C6" s="10">
        <v>0.40639999999999998</v>
      </c>
      <c r="D6" s="10">
        <v>7.1000000000000004E-3</v>
      </c>
      <c r="E6" s="11">
        <v>6760</v>
      </c>
      <c r="F6" s="49">
        <f>E15+F15+G15+H15+I15+J15+K15</f>
        <v>900</v>
      </c>
      <c r="G6" s="10">
        <v>53</v>
      </c>
      <c r="H6" s="10">
        <v>38</v>
      </c>
      <c r="I6" s="7">
        <v>0.15</v>
      </c>
      <c r="J6" s="7"/>
      <c r="K6" s="7"/>
      <c r="L6" s="7" t="s">
        <v>371</v>
      </c>
      <c r="M6" s="155">
        <f>M24-I6</f>
        <v>6.8820669463064421</v>
      </c>
      <c r="N6" s="30">
        <f t="shared" si="6"/>
        <v>2.7024422702966988</v>
      </c>
      <c r="O6" s="241">
        <f t="shared" si="7"/>
        <v>4.1796246760097429</v>
      </c>
      <c r="P6" s="12">
        <f t="shared" si="0"/>
        <v>2.0693547518255051</v>
      </c>
      <c r="Q6" s="48">
        <f t="shared" si="1"/>
        <v>180355.76303688064</v>
      </c>
      <c r="R6" s="14">
        <f t="shared" si="2"/>
        <v>8.5402818047983029E-3</v>
      </c>
      <c r="S6" s="160">
        <f t="shared" si="8"/>
        <v>0</v>
      </c>
      <c r="T6" s="15">
        <f t="shared" ref="T6:T13" si="13">R6*B6*1000</f>
        <v>477.8744787459708</v>
      </c>
      <c r="U6" s="12">
        <f t="shared" si="9"/>
        <v>0</v>
      </c>
      <c r="V6" s="13">
        <f t="shared" si="3"/>
        <v>405800.4668329815</v>
      </c>
      <c r="W6" s="14">
        <f t="shared" si="4"/>
        <v>6.9731108937770856E-3</v>
      </c>
      <c r="X6" s="160">
        <f t="shared" si="10"/>
        <v>55.955352489361658</v>
      </c>
      <c r="Y6" s="163">
        <f t="shared" si="11"/>
        <v>390.18287800870456</v>
      </c>
      <c r="Z6" s="30">
        <f t="shared" si="12"/>
        <v>2.7024422702966988</v>
      </c>
      <c r="AA6" s="31">
        <v>0.4</v>
      </c>
      <c r="AB6" s="31">
        <v>6</v>
      </c>
      <c r="AC6" s="181">
        <v>9.1999999999999993</v>
      </c>
    </row>
    <row r="7" spans="1:29" ht="16.2" thickBot="1">
      <c r="A7" s="6" t="s">
        <v>181</v>
      </c>
      <c r="B7" s="158">
        <f t="shared" si="5"/>
        <v>59.535991044891446</v>
      </c>
      <c r="C7" s="10">
        <v>0.35560000000000003</v>
      </c>
      <c r="D7" s="10">
        <v>7.1000000000000004E-3</v>
      </c>
      <c r="E7" s="11">
        <v>5450</v>
      </c>
      <c r="F7" s="49">
        <f>G15+H15+I15+J15+K15+F15</f>
        <v>650</v>
      </c>
      <c r="G7" s="10">
        <v>38</v>
      </c>
      <c r="H7" s="10">
        <v>70</v>
      </c>
      <c r="I7" s="7">
        <v>0</v>
      </c>
      <c r="J7" s="7"/>
      <c r="K7" s="7"/>
      <c r="L7" s="7" t="s">
        <v>371</v>
      </c>
      <c r="M7" s="155">
        <f>O6-I7</f>
        <v>4.1796246760097429</v>
      </c>
      <c r="N7" s="236">
        <f t="shared" si="6"/>
        <v>3.5005347661632542</v>
      </c>
      <c r="O7" s="240">
        <f t="shared" si="7"/>
        <v>0.67908990984648865</v>
      </c>
      <c r="P7" s="237">
        <f t="shared" si="0"/>
        <v>1.9723952181029274</v>
      </c>
      <c r="Q7" s="48">
        <f t="shared" si="1"/>
        <v>149639.0505467421</v>
      </c>
      <c r="R7" s="14">
        <f t="shared" si="2"/>
        <v>9.3391108148674004E-3</v>
      </c>
      <c r="S7" s="160">
        <f>IF($L7="汽",0,IF($K7-$J7&gt;0,($K7-$J7)/E7*B7,(E7+$K7-$J7)/E7*B7))</f>
        <v>0</v>
      </c>
      <c r="T7" s="15">
        <f t="shared" si="13"/>
        <v>556.01321784119443</v>
      </c>
      <c r="U7" s="12">
        <f t="shared" si="9"/>
        <v>0</v>
      </c>
      <c r="V7" s="13">
        <f t="shared" si="3"/>
        <v>336687.86373016977</v>
      </c>
      <c r="W7" s="14">
        <f t="shared" si="4"/>
        <v>7.6253520492443848E-3</v>
      </c>
      <c r="X7" s="160">
        <f t="shared" si="10"/>
        <v>59.535991044891446</v>
      </c>
      <c r="Y7" s="163">
        <f t="shared" si="11"/>
        <v>453.98289131795832</v>
      </c>
      <c r="Z7" s="30">
        <f t="shared" si="12"/>
        <v>3.5005347661632542</v>
      </c>
      <c r="AA7" s="31">
        <v>0.4</v>
      </c>
      <c r="AB7" s="31">
        <v>3</v>
      </c>
      <c r="AC7" s="181">
        <v>9.1999999999999993</v>
      </c>
    </row>
    <row r="8" spans="1:29">
      <c r="A8" s="2" t="s">
        <v>182</v>
      </c>
      <c r="B8" s="158">
        <f t="shared" si="5"/>
        <v>23.486675366333323</v>
      </c>
      <c r="C8" s="10">
        <v>0.35560000000000003</v>
      </c>
      <c r="D8" s="10">
        <v>7.1000000000000004E-3</v>
      </c>
      <c r="E8" s="11">
        <v>2150</v>
      </c>
      <c r="F8" s="49">
        <f>G15</f>
        <v>147.72727272727272</v>
      </c>
      <c r="G8" s="10">
        <v>70</v>
      </c>
      <c r="H8" s="10">
        <v>53</v>
      </c>
      <c r="I8" s="7">
        <v>0</v>
      </c>
      <c r="J8" s="7"/>
      <c r="K8" s="7"/>
      <c r="L8" s="7"/>
      <c r="M8" s="155">
        <f>O7-$I8</f>
        <v>0.67908990984648865</v>
      </c>
      <c r="N8" s="30">
        <f t="shared" si="6"/>
        <v>-4.9221566880696642E-3</v>
      </c>
      <c r="O8" s="239">
        <f t="shared" si="7"/>
        <v>0.68401206653455826</v>
      </c>
      <c r="P8" s="12">
        <f t="shared" si="0"/>
        <v>0.4482716404779381</v>
      </c>
      <c r="Q8" s="48">
        <f t="shared" si="1"/>
        <v>34008.875124259568</v>
      </c>
      <c r="R8" s="14">
        <f t="shared" si="2"/>
        <v>6.9865592228046084E-4</v>
      </c>
      <c r="S8" s="160">
        <f>IF($L8="汽",0,IF($K8-$J8&gt;0,($K8-$J8)/E8*B8,(E8+$K8-$J8)/E8*B8))</f>
        <v>23.486675366333323</v>
      </c>
      <c r="T8" s="15">
        <f t="shared" si="13"/>
        <v>16.409104839367387</v>
      </c>
      <c r="U8" s="12">
        <f t="shared" si="9"/>
        <v>-4.9221566880696642E-3</v>
      </c>
      <c r="V8" s="13">
        <f t="shared" si="3"/>
        <v>76519.969029584041</v>
      </c>
      <c r="W8" s="14">
        <f t="shared" si="4"/>
        <v>5.7045017178690351E-4</v>
      </c>
      <c r="X8" s="160">
        <f t="shared" si="10"/>
        <v>0</v>
      </c>
      <c r="Y8" s="163">
        <f t="shared" si="11"/>
        <v>13.397977997428079</v>
      </c>
      <c r="Z8" s="30">
        <f t="shared" si="12"/>
        <v>0</v>
      </c>
      <c r="AA8" s="31">
        <v>0.2</v>
      </c>
      <c r="AB8" s="31">
        <v>1.8</v>
      </c>
      <c r="AC8" s="181">
        <v>9.1999999999999993</v>
      </c>
    </row>
    <row r="9" spans="1:29" ht="16.2" thickBot="1">
      <c r="A9" s="2" t="s">
        <v>183</v>
      </c>
      <c r="B9" s="158">
        <f t="shared" si="5"/>
        <v>116.82157635862917</v>
      </c>
      <c r="C9" s="10">
        <v>0.32390000000000002</v>
      </c>
      <c r="D9" s="10">
        <v>6.4000000000000003E-3</v>
      </c>
      <c r="E9" s="11">
        <v>8880</v>
      </c>
      <c r="F9" s="49">
        <f>H15</f>
        <v>182.19696969696969</v>
      </c>
      <c r="G9" s="10">
        <v>70</v>
      </c>
      <c r="H9" s="10">
        <v>115</v>
      </c>
      <c r="I9" s="7">
        <v>0.1</v>
      </c>
      <c r="J9" s="7"/>
      <c r="K9" s="7"/>
      <c r="L9" s="7"/>
      <c r="M9" s="155">
        <f>M26</f>
        <v>0.67908990984648865</v>
      </c>
      <c r="N9" s="30">
        <f t="shared" si="6"/>
        <v>1.9008301406297992</v>
      </c>
      <c r="O9" s="238">
        <f t="shared" si="7"/>
        <v>-1.2217402307833105</v>
      </c>
      <c r="P9" s="12">
        <f t="shared" si="0"/>
        <v>0.66580759533800637</v>
      </c>
      <c r="Q9" s="48">
        <f t="shared" si="1"/>
        <v>46029.498424367514</v>
      </c>
      <c r="R9" s="14">
        <f t="shared" si="2"/>
        <v>1.5681255033787038E-3</v>
      </c>
      <c r="S9" s="160">
        <f t="shared" si="8"/>
        <v>116.82157635862917</v>
      </c>
      <c r="T9" s="15">
        <f t="shared" si="13"/>
        <v>183.19089323286906</v>
      </c>
      <c r="U9" s="12">
        <f t="shared" si="9"/>
        <v>1.9008301406297992</v>
      </c>
      <c r="V9" s="13">
        <f t="shared" si="3"/>
        <v>103566.37145482691</v>
      </c>
      <c r="W9" s="14">
        <f t="shared" si="4"/>
        <v>1.2803691119742816E-3</v>
      </c>
      <c r="X9" s="160">
        <f t="shared" si="10"/>
        <v>0</v>
      </c>
      <c r="Y9" s="163">
        <f t="shared" si="11"/>
        <v>149.57473798173376</v>
      </c>
      <c r="Z9" s="30">
        <f t="shared" si="12"/>
        <v>0</v>
      </c>
      <c r="AA9" s="31">
        <v>0.2</v>
      </c>
      <c r="AB9" s="31">
        <v>8</v>
      </c>
      <c r="AC9" s="181">
        <v>9.1999999999999993</v>
      </c>
    </row>
    <row r="10" spans="1:29" ht="16.2" thickBot="1">
      <c r="A10" s="6" t="s">
        <v>184</v>
      </c>
      <c r="B10" s="158">
        <f t="shared" si="5"/>
        <v>136.81806240199811</v>
      </c>
      <c r="C10" s="10">
        <v>0.32390000000000002</v>
      </c>
      <c r="D10" s="10">
        <v>6.4000000000000003E-3</v>
      </c>
      <c r="E10" s="11">
        <v>10400</v>
      </c>
      <c r="F10" s="49">
        <f>I15+J15+K15</f>
        <v>320.07575757575756</v>
      </c>
      <c r="G10" s="10">
        <v>70</v>
      </c>
      <c r="H10" s="10">
        <v>100</v>
      </c>
      <c r="I10" s="7">
        <v>0.1</v>
      </c>
      <c r="J10" s="7"/>
      <c r="K10" s="7"/>
      <c r="L10" s="7"/>
      <c r="M10" s="155">
        <f>M28</f>
        <v>1.980616434453712</v>
      </c>
      <c r="N10" s="236">
        <f t="shared" si="6"/>
        <v>5.0407724902176003</v>
      </c>
      <c r="O10" s="240">
        <f t="shared" si="7"/>
        <v>-3.0601560557638883</v>
      </c>
      <c r="P10" s="237">
        <f t="shared" si="0"/>
        <v>1.1696619918100115</v>
      </c>
      <c r="Q10" s="48">
        <f t="shared" si="1"/>
        <v>80862.63236713213</v>
      </c>
      <c r="R10" s="14">
        <f t="shared" si="2"/>
        <v>4.203646379944667E-3</v>
      </c>
      <c r="S10" s="160">
        <f t="shared" si="8"/>
        <v>136.81806240199811</v>
      </c>
      <c r="T10" s="15">
        <f t="shared" si="13"/>
        <v>575.13475272720291</v>
      </c>
      <c r="U10" s="12">
        <f t="shared" si="9"/>
        <v>5.0407724902176003</v>
      </c>
      <c r="V10" s="13">
        <f t="shared" si="3"/>
        <v>181940.92282604729</v>
      </c>
      <c r="W10" s="14">
        <f t="shared" si="4"/>
        <v>3.432262896654035E-3</v>
      </c>
      <c r="X10" s="160">
        <f t="shared" si="10"/>
        <v>0</v>
      </c>
      <c r="Y10" s="163">
        <f t="shared" si="11"/>
        <v>469.59555917447454</v>
      </c>
      <c r="Z10" s="30">
        <f t="shared" si="12"/>
        <v>0</v>
      </c>
      <c r="AA10" s="31">
        <v>0.4</v>
      </c>
      <c r="AB10" s="31">
        <v>3</v>
      </c>
      <c r="AC10" s="181">
        <v>9.1999999999999993</v>
      </c>
    </row>
    <row r="11" spans="1:29">
      <c r="A11" s="6" t="s">
        <v>185</v>
      </c>
      <c r="B11" s="158">
        <f t="shared" si="5"/>
        <v>73.662736668568627</v>
      </c>
      <c r="C11" s="10">
        <v>0.27310000000000001</v>
      </c>
      <c r="D11" s="10">
        <v>6.4000000000000003E-3</v>
      </c>
      <c r="E11" s="11">
        <v>3920</v>
      </c>
      <c r="F11" s="49">
        <f>J15+K15</f>
        <v>0</v>
      </c>
      <c r="G11" s="10">
        <v>100</v>
      </c>
      <c r="H11" s="10">
        <v>110</v>
      </c>
      <c r="I11" s="7">
        <v>0</v>
      </c>
      <c r="J11" s="7"/>
      <c r="K11" s="7"/>
      <c r="L11" s="7"/>
      <c r="M11" s="155">
        <f>M30-$I11</f>
        <v>4.7679998348047388</v>
      </c>
      <c r="N11" s="30">
        <f t="shared" si="6"/>
        <v>8.3300000000000013E-2</v>
      </c>
      <c r="O11" s="239">
        <f t="shared" si="7"/>
        <v>0</v>
      </c>
      <c r="P11" s="12">
        <f t="shared" si="0"/>
        <v>0</v>
      </c>
      <c r="Q11" s="48">
        <f t="shared" si="1"/>
        <v>0</v>
      </c>
      <c r="R11" s="14">
        <f t="shared" si="2"/>
        <v>0</v>
      </c>
      <c r="S11" s="160">
        <f t="shared" si="8"/>
        <v>73.662736668568627</v>
      </c>
      <c r="T11" s="15">
        <f t="shared" si="13"/>
        <v>0</v>
      </c>
      <c r="U11" s="12">
        <f t="shared" si="9"/>
        <v>8.3300000000000013E-2</v>
      </c>
      <c r="V11" s="13">
        <f t="shared" si="3"/>
        <v>0</v>
      </c>
      <c r="W11" s="14">
        <f t="shared" si="4"/>
        <v>0</v>
      </c>
      <c r="X11" s="160">
        <f t="shared" si="10"/>
        <v>0</v>
      </c>
      <c r="Y11" s="163">
        <f t="shared" si="11"/>
        <v>0</v>
      </c>
      <c r="Z11" s="30">
        <f t="shared" si="12"/>
        <v>0</v>
      </c>
      <c r="AA11" s="31">
        <v>0.4</v>
      </c>
      <c r="AB11" s="31">
        <v>9.5</v>
      </c>
      <c r="AC11" s="181">
        <v>9.1999999999999993</v>
      </c>
    </row>
    <row r="12" spans="1:29">
      <c r="A12" s="6" t="s">
        <v>186</v>
      </c>
      <c r="B12" s="158">
        <f t="shared" si="5"/>
        <v>86.440966498830534</v>
      </c>
      <c r="C12" s="10">
        <v>0.27310000000000001</v>
      </c>
      <c r="D12" s="10">
        <v>6.4000000000000003E-3</v>
      </c>
      <c r="E12" s="11">
        <v>4600</v>
      </c>
      <c r="F12" s="49">
        <f>F13</f>
        <v>0</v>
      </c>
      <c r="G12" s="10">
        <v>110</v>
      </c>
      <c r="H12" s="10">
        <v>363</v>
      </c>
      <c r="I12" s="7">
        <v>0</v>
      </c>
      <c r="J12" s="7"/>
      <c r="K12" s="7"/>
      <c r="L12" s="7"/>
      <c r="M12" s="155">
        <f>O11-$I12</f>
        <v>0</v>
      </c>
      <c r="N12" s="30">
        <f t="shared" si="6"/>
        <v>2.1074899999999999</v>
      </c>
      <c r="O12" s="155">
        <f t="shared" si="7"/>
        <v>0</v>
      </c>
      <c r="P12" s="12">
        <f t="shared" si="0"/>
        <v>0</v>
      </c>
      <c r="Q12" s="48">
        <f t="shared" si="1"/>
        <v>0</v>
      </c>
      <c r="R12" s="14">
        <f t="shared" si="2"/>
        <v>0</v>
      </c>
      <c r="S12" s="160">
        <f t="shared" si="8"/>
        <v>86.440966498830534</v>
      </c>
      <c r="T12" s="15">
        <f t="shared" si="13"/>
        <v>0</v>
      </c>
      <c r="U12" s="12">
        <f t="shared" si="9"/>
        <v>2.1074899999999999</v>
      </c>
      <c r="V12" s="13">
        <f t="shared" si="3"/>
        <v>0</v>
      </c>
      <c r="W12" s="14">
        <f t="shared" si="4"/>
        <v>0</v>
      </c>
      <c r="X12" s="160">
        <f t="shared" si="10"/>
        <v>0</v>
      </c>
      <c r="Y12" s="163">
        <f t="shared" si="11"/>
        <v>0</v>
      </c>
      <c r="Z12" s="30">
        <f t="shared" si="12"/>
        <v>0</v>
      </c>
      <c r="AA12" s="31">
        <v>0</v>
      </c>
      <c r="AB12" s="31">
        <v>0.4</v>
      </c>
      <c r="AC12" s="181">
        <v>9.1999999999999993</v>
      </c>
    </row>
    <row r="13" spans="1:29">
      <c r="A13" s="6" t="s">
        <v>187</v>
      </c>
      <c r="B13" s="158">
        <f t="shared" si="5"/>
        <v>12.778229830261905</v>
      </c>
      <c r="C13" s="10">
        <v>0.27310000000000001</v>
      </c>
      <c r="D13" s="10">
        <v>6.4000000000000003E-3</v>
      </c>
      <c r="E13" s="11">
        <f>5280-E12</f>
        <v>680</v>
      </c>
      <c r="F13" s="49">
        <f>K15</f>
        <v>0</v>
      </c>
      <c r="G13" s="10">
        <v>363</v>
      </c>
      <c r="H13" s="10">
        <v>230</v>
      </c>
      <c r="I13" s="7">
        <v>0</v>
      </c>
      <c r="J13" s="7"/>
      <c r="K13" s="7"/>
      <c r="L13" s="7"/>
      <c r="M13" s="155">
        <f>O12-$I13</f>
        <v>0</v>
      </c>
      <c r="N13" s="30">
        <f>(U13+Z13)*$AB$1</f>
        <v>-1.10789</v>
      </c>
      <c r="O13" s="155">
        <f t="shared" si="7"/>
        <v>0</v>
      </c>
      <c r="P13" s="12">
        <f t="shared" si="0"/>
        <v>0</v>
      </c>
      <c r="Q13" s="48">
        <f t="shared" si="1"/>
        <v>0</v>
      </c>
      <c r="R13" s="14">
        <f t="shared" si="2"/>
        <v>0</v>
      </c>
      <c r="S13" s="160">
        <f t="shared" si="8"/>
        <v>12.778229830261905</v>
      </c>
      <c r="T13" s="15">
        <f t="shared" si="13"/>
        <v>0</v>
      </c>
      <c r="U13" s="12">
        <f t="shared" si="9"/>
        <v>-1.10789</v>
      </c>
      <c r="V13" s="13">
        <f t="shared" si="3"/>
        <v>0</v>
      </c>
      <c r="W13" s="14">
        <f t="shared" si="4"/>
        <v>0</v>
      </c>
      <c r="X13" s="160">
        <f t="shared" si="10"/>
        <v>0</v>
      </c>
      <c r="Y13" s="163">
        <f t="shared" si="11"/>
        <v>0</v>
      </c>
      <c r="Z13" s="30">
        <f t="shared" si="12"/>
        <v>0</v>
      </c>
      <c r="AA13" s="31">
        <v>0.2</v>
      </c>
      <c r="AB13" s="31">
        <v>1.8</v>
      </c>
      <c r="AC13" s="181">
        <v>9.1999999999999993</v>
      </c>
    </row>
    <row r="14" spans="1:29" ht="17.399999999999999">
      <c r="A14" s="6"/>
      <c r="B14" s="6" t="s">
        <v>79</v>
      </c>
      <c r="C14" s="6" t="s">
        <v>80</v>
      </c>
      <c r="D14" s="6" t="s">
        <v>81</v>
      </c>
      <c r="E14" s="13" t="s">
        <v>82</v>
      </c>
      <c r="F14" s="6" t="s">
        <v>188</v>
      </c>
      <c r="G14" s="6" t="s">
        <v>83</v>
      </c>
      <c r="H14" s="6" t="s">
        <v>84</v>
      </c>
      <c r="I14" s="6" t="s">
        <v>85</v>
      </c>
      <c r="J14" s="6" t="s">
        <v>189</v>
      </c>
      <c r="K14" s="6" t="s">
        <v>268</v>
      </c>
      <c r="L14" s="6"/>
      <c r="M14" s="12"/>
      <c r="N14" s="50"/>
      <c r="O14" s="50"/>
      <c r="P14" s="50"/>
      <c r="Q14" s="16"/>
      <c r="R14" s="16"/>
      <c r="S14" s="17"/>
      <c r="T14" s="18"/>
      <c r="U14" s="19"/>
      <c r="V14" s="16"/>
      <c r="W14" s="17"/>
      <c r="X14" s="162"/>
      <c r="Y14" s="16"/>
      <c r="Z14" s="16"/>
      <c r="AA14" s="36"/>
      <c r="AB14" s="36"/>
    </row>
    <row r="15" spans="1:29">
      <c r="A15" s="44"/>
      <c r="B15" s="13">
        <v>650</v>
      </c>
      <c r="C15" s="263">
        <f t="shared" ref="C15:L15" si="14">C16/$A$16*$B$15</f>
        <v>0</v>
      </c>
      <c r="D15" s="263"/>
      <c r="E15" s="263">
        <v>250</v>
      </c>
      <c r="F15" s="263">
        <f t="shared" si="14"/>
        <v>0</v>
      </c>
      <c r="G15" s="263">
        <f t="shared" si="14"/>
        <v>147.72727272727272</v>
      </c>
      <c r="H15" s="263">
        <f t="shared" si="14"/>
        <v>182.19696969696969</v>
      </c>
      <c r="I15" s="263">
        <f t="shared" si="14"/>
        <v>320.07575757575756</v>
      </c>
      <c r="J15" s="263">
        <f t="shared" si="14"/>
        <v>0</v>
      </c>
      <c r="K15" s="263">
        <f t="shared" si="14"/>
        <v>0</v>
      </c>
      <c r="L15" s="263">
        <f t="shared" si="14"/>
        <v>0</v>
      </c>
      <c r="M15" s="46"/>
      <c r="N15" s="51"/>
      <c r="O15" s="12"/>
      <c r="P15" s="12"/>
      <c r="Q15" s="16"/>
      <c r="R15" s="16"/>
      <c r="S15" s="17"/>
      <c r="T15" s="18"/>
      <c r="U15" s="19"/>
      <c r="V15" s="16"/>
      <c r="W15" s="17"/>
      <c r="X15" s="18"/>
      <c r="Y15" s="16"/>
      <c r="Z15" s="16"/>
      <c r="AA15" s="36"/>
      <c r="AB15" s="36"/>
    </row>
    <row r="16" spans="1:29" s="185" customFormat="1">
      <c r="A16" s="47">
        <f>SUM(C16:L16)</f>
        <v>13200</v>
      </c>
      <c r="B16" s="57">
        <v>897</v>
      </c>
      <c r="C16" s="57"/>
      <c r="D16" s="45"/>
      <c r="E16" s="45"/>
      <c r="F16" s="45">
        <v>0</v>
      </c>
      <c r="G16" s="263">
        <v>3000</v>
      </c>
      <c r="H16" s="263">
        <v>3700</v>
      </c>
      <c r="I16" s="263">
        <v>6500</v>
      </c>
      <c r="J16" s="263"/>
      <c r="K16" s="263"/>
      <c r="L16" s="182"/>
      <c r="M16" s="40"/>
      <c r="N16" s="52" t="s">
        <v>190</v>
      </c>
      <c r="O16" s="47">
        <f>(E15+G15)*7.41+270</f>
        <v>3217.159090909091</v>
      </c>
      <c r="P16" s="183">
        <f>5000*(R16+T16+V16)/8500</f>
        <v>0</v>
      </c>
      <c r="Q16" s="41"/>
      <c r="R16" s="41"/>
      <c r="S16" s="41"/>
      <c r="T16" s="42"/>
      <c r="U16" s="42"/>
      <c r="V16" s="41"/>
      <c r="W16" s="41"/>
      <c r="X16" s="42"/>
      <c r="Y16" s="41"/>
      <c r="Z16" s="41"/>
      <c r="AA16" s="41"/>
      <c r="AB16" s="41"/>
      <c r="AC16" s="184"/>
    </row>
    <row r="17" spans="1:28" ht="21" thickBot="1">
      <c r="A17" s="409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186"/>
      <c r="Q17" s="187"/>
      <c r="R17" s="188"/>
      <c r="S17" s="188"/>
      <c r="T17" s="188"/>
      <c r="U17" s="188"/>
      <c r="V17" s="188"/>
      <c r="W17" s="188"/>
      <c r="X17" s="33"/>
      <c r="Y17" s="33"/>
      <c r="Z17" s="33"/>
      <c r="AA17" s="33"/>
      <c r="AB17" s="33"/>
    </row>
    <row r="18" spans="1:28" ht="31.2">
      <c r="A18" s="410" t="s">
        <v>191</v>
      </c>
      <c r="B18" s="412" t="s">
        <v>192</v>
      </c>
      <c r="C18" s="414" t="s">
        <v>8</v>
      </c>
      <c r="D18" s="415"/>
      <c r="E18" s="20" t="s">
        <v>193</v>
      </c>
      <c r="F18" s="414" t="s">
        <v>271</v>
      </c>
      <c r="G18" s="416"/>
      <c r="H18" s="415"/>
      <c r="I18" s="189" t="s">
        <v>194</v>
      </c>
      <c r="J18" s="417" t="str">
        <f>O21&amp;O22&amp;"+"&amp;O23&amp;O24&amp;"+"&amp;O25&amp;O26&amp;"/"&amp;O27&amp;O28&amp;"+"&amp;O29&amp;O30</f>
        <v>2大+2大+/1小+2大</v>
      </c>
      <c r="K18" s="417"/>
      <c r="L18" s="417"/>
      <c r="M18" s="417"/>
      <c r="N18" s="418"/>
      <c r="O18" s="35"/>
      <c r="P18" s="17"/>
      <c r="Q18" s="190"/>
      <c r="R18" s="188"/>
      <c r="S18" s="188"/>
      <c r="T18" s="188"/>
      <c r="U18" s="16"/>
      <c r="V18" s="188"/>
      <c r="W18" s="188"/>
      <c r="X18" s="33"/>
      <c r="Y18" s="16"/>
      <c r="Z18" s="33"/>
      <c r="AA18" s="32"/>
      <c r="AB18" s="32"/>
    </row>
    <row r="19" spans="1:28" ht="49.8" thickBot="1">
      <c r="A19" s="411"/>
      <c r="B19" s="413"/>
      <c r="C19" s="145" t="s">
        <v>195</v>
      </c>
      <c r="D19" s="145" t="s">
        <v>196</v>
      </c>
      <c r="E19" s="145" t="s">
        <v>197</v>
      </c>
      <c r="F19" s="145" t="s">
        <v>198</v>
      </c>
      <c r="G19" s="145" t="s">
        <v>199</v>
      </c>
      <c r="H19" s="145" t="s">
        <v>200</v>
      </c>
      <c r="I19" s="146" t="s">
        <v>292</v>
      </c>
      <c r="J19" s="146" t="s">
        <v>201</v>
      </c>
      <c r="K19" s="178" t="s">
        <v>202</v>
      </c>
      <c r="L19" s="146" t="s">
        <v>203</v>
      </c>
      <c r="M19" s="146" t="s">
        <v>204</v>
      </c>
      <c r="N19" s="147" t="s">
        <v>205</v>
      </c>
      <c r="O19" s="21"/>
      <c r="P19" s="17"/>
      <c r="Q19" s="17"/>
      <c r="R19" s="17"/>
      <c r="S19" s="17"/>
      <c r="T19" s="188"/>
      <c r="U19" s="188"/>
      <c r="W19" s="188"/>
      <c r="X19" s="33"/>
      <c r="Y19" s="23"/>
      <c r="Z19" s="33"/>
      <c r="AA19" s="37"/>
      <c r="AB19" s="32">
        <f>AA19*$V$1*0.98</f>
        <v>0</v>
      </c>
    </row>
    <row r="20" spans="1:28">
      <c r="A20" s="425" t="s">
        <v>206</v>
      </c>
      <c r="B20" s="191" t="s">
        <v>207</v>
      </c>
      <c r="C20" s="192">
        <v>480</v>
      </c>
      <c r="D20" s="192">
        <v>60</v>
      </c>
      <c r="E20" s="192">
        <v>70</v>
      </c>
      <c r="F20" s="192">
        <v>0.38</v>
      </c>
      <c r="G20" s="192">
        <v>178</v>
      </c>
      <c r="H20" s="192">
        <v>110</v>
      </c>
      <c r="I20" s="154">
        <v>1</v>
      </c>
      <c r="J20" s="193">
        <v>0.1</v>
      </c>
      <c r="K20" s="194">
        <f>IF($L$4="汽",$V$1,IF($J$4="",$R$1,IF(AND($K$4&lt;$J$4,$K$4&lt;&gt;""),$R$1,$V$1)))</f>
        <v>0.73499999999999999</v>
      </c>
      <c r="L20" s="194">
        <f>IF($L$4="汽",$V$1*9.8*$E20/1000,IF(OR($J$4="",$K$4&lt;&gt;""),$R$1*9.8*$E20/1000,$V$1*9.8*$E20/1000))</f>
        <v>0.50421000000000005</v>
      </c>
      <c r="M20" s="193">
        <f t="shared" ref="M20:M30" si="15">$J20+$L20*$I20</f>
        <v>0.60421000000000002</v>
      </c>
      <c r="N20" s="195"/>
      <c r="O20" s="35"/>
      <c r="P20"/>
      <c r="Q20" s="38" t="s">
        <v>34</v>
      </c>
      <c r="R20" s="33" t="s">
        <v>33</v>
      </c>
      <c r="S20" s="33" t="s">
        <v>154</v>
      </c>
      <c r="T20" s="33" t="s">
        <v>38</v>
      </c>
      <c r="U20" s="16"/>
      <c r="W20" s="33"/>
      <c r="X20" s="33"/>
      <c r="Y20" s="33"/>
      <c r="Z20" s="33"/>
      <c r="AA20" s="32"/>
      <c r="AB20" s="32"/>
    </row>
    <row r="21" spans="1:28">
      <c r="A21" s="426"/>
      <c r="B21" s="196" t="s">
        <v>208</v>
      </c>
      <c r="C21" s="197">
        <v>900</v>
      </c>
      <c r="D21" s="197">
        <v>225</v>
      </c>
      <c r="E21" s="198">
        <f xml:space="preserve"> -1.1497643037E-10  *$F$4^4 + 0.0000001611898827426  *$F$4^3 - 0.00012726520139128  *$F$4^2 + 0.021094*$F$4 + 267.48</f>
        <v>225.45117542666162</v>
      </c>
      <c r="F21" s="197">
        <v>6</v>
      </c>
      <c r="G21" s="197">
        <v>80.400000000000006</v>
      </c>
      <c r="H21" s="197">
        <v>710</v>
      </c>
      <c r="I21" s="152"/>
      <c r="J21" s="199">
        <f>M20</f>
        <v>0.60421000000000002</v>
      </c>
      <c r="K21" s="200">
        <f>K20</f>
        <v>0.73499999999999999</v>
      </c>
      <c r="L21" s="201">
        <f>9.8*$E21/1000*K21</f>
        <v>1.6239248165982438</v>
      </c>
      <c r="M21" s="199">
        <f t="shared" si="15"/>
        <v>0.60421000000000002</v>
      </c>
      <c r="N21" s="428">
        <v>9.6999999999999993</v>
      </c>
      <c r="O21" s="35" t="str">
        <f>IF(I21&gt;0,I21 &amp; "小","")</f>
        <v/>
      </c>
      <c r="P21" s="22">
        <v>92</v>
      </c>
      <c r="Q21" s="45">
        <f>SUM(R21:X21)*90/290</f>
        <v>0</v>
      </c>
      <c r="R21" s="45">
        <f>(S21+T21+U21+V21)*125/165</f>
        <v>0</v>
      </c>
      <c r="S21" s="45">
        <f>(T21+U21+V21)*125/165</f>
        <v>0</v>
      </c>
      <c r="T21" s="45">
        <f>(U21+V21)*65/100</f>
        <v>0</v>
      </c>
      <c r="U21" s="33"/>
      <c r="W21" s="33"/>
      <c r="X21" s="33"/>
      <c r="Y21" s="33"/>
      <c r="Z21" s="33"/>
      <c r="AA21" s="32"/>
      <c r="AB21" s="32"/>
    </row>
    <row r="22" spans="1:28" ht="16.2" thickBot="1">
      <c r="A22" s="427"/>
      <c r="B22" s="202" t="s">
        <v>109</v>
      </c>
      <c r="C22" s="203">
        <v>900</v>
      </c>
      <c r="D22" s="203">
        <v>450</v>
      </c>
      <c r="E22" s="204">
        <f xml:space="preserve"> 1.00758948549639E-10 *$F$4^4 - 2.64050341233606E-07 *$F$4^3 + 0.000125866879117975 *$F$4^2 - 0.0847719150901867 *$F$4 + 551.635683077202</f>
        <v>450.9083789657131</v>
      </c>
      <c r="F22" s="203">
        <v>6</v>
      </c>
      <c r="G22" s="203">
        <v>142</v>
      </c>
      <c r="H22" s="203">
        <v>1300</v>
      </c>
      <c r="I22" s="205">
        <v>2</v>
      </c>
      <c r="J22" s="206">
        <f>M21</f>
        <v>0.60421000000000002</v>
      </c>
      <c r="K22" s="207">
        <f>K21</f>
        <v>0.73499999999999999</v>
      </c>
      <c r="L22" s="208">
        <f t="shared" ref="L22:L30" si="16">9.8*$E22/1000*K22</f>
        <v>3.2478930536900315</v>
      </c>
      <c r="M22" s="206">
        <f t="shared" si="15"/>
        <v>7.099996107380063</v>
      </c>
      <c r="N22" s="429"/>
      <c r="O22" s="35" t="str">
        <f>IF(I22&gt;0,I22 &amp; "大","")</f>
        <v>2大</v>
      </c>
      <c r="P22" s="35">
        <v>95</v>
      </c>
      <c r="Q22" s="45">
        <f>SUM(R22:X22)*25/52</f>
        <v>0</v>
      </c>
      <c r="R22" s="45">
        <f>(S22+T22+U22+V22)*30/22</f>
        <v>0</v>
      </c>
      <c r="S22" s="45">
        <f>(T22+U22+V22)*25/41</f>
        <v>0</v>
      </c>
      <c r="T22" s="45">
        <f>(U22+V22)*13/28</f>
        <v>0</v>
      </c>
      <c r="U22" s="33"/>
      <c r="W22" s="33"/>
      <c r="X22" s="33"/>
      <c r="Y22" s="33"/>
      <c r="Z22" s="33"/>
      <c r="AA22" s="32"/>
      <c r="AB22" s="32"/>
    </row>
    <row r="23" spans="1:28">
      <c r="A23" s="430" t="s">
        <v>209</v>
      </c>
      <c r="B23" s="209" t="s">
        <v>208</v>
      </c>
      <c r="C23" s="210">
        <v>800</v>
      </c>
      <c r="D23" s="210">
        <v>210</v>
      </c>
      <c r="E23" s="211">
        <f>-1.6290975858E-10 *$F$6^4 + 2.2879126216493E-07 *$F$6^3 - 0.000164560065230204 *$F$6^2 + 0.0263773040120583 *$F$6 + 244.456958008688</f>
        <v>194.80661629697119</v>
      </c>
      <c r="F23" s="210">
        <v>10</v>
      </c>
      <c r="G23" s="210">
        <v>42.8</v>
      </c>
      <c r="H23" s="210">
        <v>630</v>
      </c>
      <c r="I23" s="154"/>
      <c r="J23" s="212">
        <f>O5</f>
        <v>1.2922295180665764</v>
      </c>
      <c r="K23" s="213">
        <f>IF($L$6="汽",$V$1,IF($J$6="",$R$1,IF(AND($K$6&lt;$J$6,$K$6&lt;&gt;""),$R$1,$V$1)))</f>
        <v>0.73499999999999999</v>
      </c>
      <c r="L23" s="213">
        <f t="shared" si="16"/>
        <v>1.4031920571870835</v>
      </c>
      <c r="M23" s="212">
        <f t="shared" si="15"/>
        <v>1.2922295180665764</v>
      </c>
      <c r="N23" s="432">
        <v>9.6999999999999993</v>
      </c>
      <c r="O23" s="35" t="str">
        <f t="shared" ref="O23:O29" si="17">IF(I23&gt;0,I23 &amp; "小","")</f>
        <v/>
      </c>
      <c r="P23" s="58" t="s">
        <v>252</v>
      </c>
      <c r="Q23" s="45">
        <f>SUM(R23:X23)*2630/11142</f>
        <v>0</v>
      </c>
      <c r="R23" s="45">
        <f>(S23+T23+U23+V23)*4349/12239</f>
        <v>0</v>
      </c>
      <c r="S23" s="45">
        <f>(T23+U23+V23)*2021/2846</f>
        <v>0</v>
      </c>
      <c r="T23" s="45">
        <f>(U23+V23)*1447/1830</f>
        <v>0</v>
      </c>
      <c r="U23" s="45">
        <f>Y23/8160*9520</f>
        <v>0</v>
      </c>
      <c r="W23" s="33"/>
      <c r="X23" s="33"/>
      <c r="Y23" s="33"/>
      <c r="Z23" s="33"/>
      <c r="AA23" s="32"/>
      <c r="AB23" s="32"/>
    </row>
    <row r="24" spans="1:28" ht="16.2" thickBot="1">
      <c r="A24" s="431"/>
      <c r="B24" s="214" t="s">
        <v>110</v>
      </c>
      <c r="C24" s="215">
        <v>800</v>
      </c>
      <c r="D24" s="215">
        <v>420</v>
      </c>
      <c r="E24" s="216">
        <f>1.2347624699E-10*$F$6^4-2.9915226825144E-07*$F$6^3+0.000122633346716583*$F$6^2-0.079446990473798*$F$6+507.67232581031</f>
        <v>398.43380731916329</v>
      </c>
      <c r="F24" s="215">
        <v>10</v>
      </c>
      <c r="G24" s="215">
        <v>73</v>
      </c>
      <c r="H24" s="215">
        <v>1100</v>
      </c>
      <c r="I24" s="153">
        <v>2</v>
      </c>
      <c r="J24" s="217">
        <f>M23</f>
        <v>1.2922295180665764</v>
      </c>
      <c r="K24" s="218">
        <f>K23</f>
        <v>0.73499999999999999</v>
      </c>
      <c r="L24" s="219">
        <f t="shared" si="16"/>
        <v>2.8699187141199332</v>
      </c>
      <c r="M24" s="217">
        <f t="shared" si="15"/>
        <v>7.0320669463064425</v>
      </c>
      <c r="N24" s="433"/>
      <c r="O24" s="35" t="str">
        <f>IF(I24&gt;0,I24 &amp; "大","")</f>
        <v>2大</v>
      </c>
      <c r="P24" s="35">
        <v>0</v>
      </c>
      <c r="Q24" s="45">
        <f>SUM(R24:X24)*4/4</f>
        <v>0</v>
      </c>
      <c r="R24" s="45">
        <f>(S24+T24+U24+V24)*1/4</f>
        <v>0</v>
      </c>
      <c r="S24" s="45">
        <f>(T24+U24+V24)*20/25</f>
        <v>0</v>
      </c>
      <c r="T24" s="45">
        <f>(U24+V24)*50/55</f>
        <v>0</v>
      </c>
      <c r="U24" s="33"/>
      <c r="W24" s="33"/>
      <c r="X24" s="33"/>
      <c r="Y24" s="33"/>
      <c r="Z24" s="33"/>
      <c r="AA24" s="32"/>
      <c r="AB24" s="32"/>
    </row>
    <row r="25" spans="1:28">
      <c r="A25" s="425" t="s">
        <v>111</v>
      </c>
      <c r="B25" s="191" t="s">
        <v>208</v>
      </c>
      <c r="C25" s="192">
        <v>370</v>
      </c>
      <c r="D25" s="192">
        <v>180</v>
      </c>
      <c r="E25" s="220">
        <f>SUMPRODUCT({-0.0425717643108947;-0.000104079234514017},F9^{1;2})+210</f>
        <v>198.78856678016757</v>
      </c>
      <c r="F25" s="192">
        <v>10</v>
      </c>
      <c r="G25" s="192">
        <v>42.8</v>
      </c>
      <c r="H25" s="192">
        <v>630</v>
      </c>
      <c r="I25" s="154"/>
      <c r="J25" s="193">
        <f>O7</f>
        <v>0.67908990984648865</v>
      </c>
      <c r="K25" s="194">
        <f>IF($L$9="汽",$V$1,IF($J$9="",$R$1,IF(AND($K$9&lt;$J$9,$K$9&lt;&gt;""),$R$1,$V$1)))</f>
        <v>0.85</v>
      </c>
      <c r="L25" s="194">
        <f t="shared" si="16"/>
        <v>1.6559087612787962</v>
      </c>
      <c r="M25" s="193">
        <f t="shared" si="15"/>
        <v>0.67908990984648865</v>
      </c>
      <c r="N25" s="435">
        <v>9.6999999999999993</v>
      </c>
      <c r="O25" s="35" t="str">
        <f>IF(I25&gt;0,I25 &amp; "小","")</f>
        <v/>
      </c>
      <c r="P25" s="35" t="s">
        <v>210</v>
      </c>
      <c r="Q25" s="45">
        <f>SUM(R25:X25)*50/75</f>
        <v>0</v>
      </c>
      <c r="R25" s="45">
        <f>(S25+T25+U25+V25)*10320/22481</f>
        <v>0</v>
      </c>
      <c r="S25" s="45">
        <f>(T25+U25+V25)*2/2</f>
        <v>0</v>
      </c>
      <c r="T25" s="45">
        <f>(U25+V25)/4753*4153</f>
        <v>0</v>
      </c>
      <c r="U25" s="33"/>
      <c r="W25" s="33"/>
    </row>
    <row r="26" spans="1:28" ht="16.2" thickBot="1">
      <c r="A26" s="434"/>
      <c r="B26" s="222" t="s">
        <v>109</v>
      </c>
      <c r="C26" s="223">
        <v>370</v>
      </c>
      <c r="D26" s="223">
        <v>360</v>
      </c>
      <c r="E26" s="224">
        <f>SUMPRODUCT({-0.0342202450898103;-0.000418834984052375},F9^{1;2})+430</f>
        <v>409.86163958187183</v>
      </c>
      <c r="F26" s="223">
        <v>10</v>
      </c>
      <c r="G26" s="223">
        <v>73</v>
      </c>
      <c r="H26" s="223">
        <v>1100</v>
      </c>
      <c r="I26" s="153"/>
      <c r="J26" s="225">
        <f>M25</f>
        <v>0.67908990984648865</v>
      </c>
      <c r="K26" s="226">
        <f>K25</f>
        <v>0.85</v>
      </c>
      <c r="L26" s="227">
        <f t="shared" si="16"/>
        <v>3.4141474577169921</v>
      </c>
      <c r="M26" s="225">
        <f t="shared" si="15"/>
        <v>0.67908990984648865</v>
      </c>
      <c r="N26" s="424"/>
      <c r="O26" s="35" t="str">
        <f>IF(I26&gt;0,I26 &amp; "大","")</f>
        <v/>
      </c>
      <c r="P26"/>
      <c r="Q26" s="35"/>
      <c r="R26" s="34"/>
      <c r="S26" s="35"/>
      <c r="T26" s="33"/>
      <c r="U26" s="33"/>
      <c r="W26" s="33"/>
    </row>
    <row r="27" spans="1:28">
      <c r="A27" s="407" t="s">
        <v>114</v>
      </c>
      <c r="B27" s="209" t="s">
        <v>208</v>
      </c>
      <c r="C27" s="210">
        <v>330</v>
      </c>
      <c r="D27" s="210">
        <v>155</v>
      </c>
      <c r="E27" s="211">
        <f>SUMPRODUCT({-0.0244532279314888;-0.000155467720685112},F10^{1;2})+180</f>
        <v>156.24568122535695</v>
      </c>
      <c r="F27" s="210">
        <v>10</v>
      </c>
      <c r="G27" s="210">
        <v>42.8</v>
      </c>
      <c r="H27" s="210">
        <v>630</v>
      </c>
      <c r="I27" s="154">
        <v>1</v>
      </c>
      <c r="J27" s="212">
        <f>O7</f>
        <v>0.67908990984648865</v>
      </c>
      <c r="K27" s="213">
        <f>IF($L$10="汽",$V$1,IF($J$10="",$R$1,IF(AND($K$10&lt;$J$10,$K$10&lt;&gt;""),$R$1,$V$1)))</f>
        <v>0.85</v>
      </c>
      <c r="L27" s="213">
        <f t="shared" si="16"/>
        <v>1.3015265246072234</v>
      </c>
      <c r="M27" s="212">
        <f t="shared" si="15"/>
        <v>1.980616434453712</v>
      </c>
      <c r="N27" s="419">
        <v>9.6999999999999993</v>
      </c>
      <c r="O27" s="35" t="str">
        <f t="shared" si="17"/>
        <v>1小</v>
      </c>
      <c r="P27" s="221"/>
      <c r="Q27" s="221"/>
      <c r="R27" s="221"/>
      <c r="S27" s="221"/>
      <c r="T27" s="221"/>
      <c r="U27" s="221"/>
      <c r="W27" s="221"/>
    </row>
    <row r="28" spans="1:28" ht="16.2" thickBot="1">
      <c r="A28" s="408"/>
      <c r="B28" s="214" t="s">
        <v>109</v>
      </c>
      <c r="C28" s="215">
        <v>330</v>
      </c>
      <c r="D28" s="215">
        <v>310</v>
      </c>
      <c r="E28" s="216">
        <f>SUMPRODUCT({-0.0202108036890646;-0.000397891963109354},F10^{1;2})+360</f>
        <v>312.76758066047955</v>
      </c>
      <c r="F28" s="215">
        <v>10</v>
      </c>
      <c r="G28" s="215">
        <v>73</v>
      </c>
      <c r="H28" s="215">
        <v>1100</v>
      </c>
      <c r="I28" s="153"/>
      <c r="J28" s="217">
        <f>M27</f>
        <v>1.980616434453712</v>
      </c>
      <c r="K28" s="228">
        <f>K27</f>
        <v>0.85</v>
      </c>
      <c r="L28" s="219">
        <f t="shared" si="16"/>
        <v>2.6053539469017948</v>
      </c>
      <c r="M28" s="217">
        <f t="shared" si="15"/>
        <v>1.980616434453712</v>
      </c>
      <c r="N28" s="420"/>
      <c r="O28" s="35" t="str">
        <f>IF(I28&gt;0,I28 &amp; "大","")</f>
        <v/>
      </c>
      <c r="P28" s="221"/>
      <c r="Q28" s="221"/>
      <c r="R28" s="221"/>
      <c r="S28" s="221"/>
      <c r="T28" s="221"/>
      <c r="U28" s="221"/>
      <c r="V28" s="221"/>
      <c r="W28" s="221"/>
    </row>
    <row r="29" spans="1:28">
      <c r="A29" s="421" t="s">
        <v>38</v>
      </c>
      <c r="B29" s="229" t="s">
        <v>208</v>
      </c>
      <c r="C29" s="230">
        <v>200</v>
      </c>
      <c r="D29" s="230">
        <v>200</v>
      </c>
      <c r="E29" s="231">
        <f>SUMPRODUCT({-0.0357347090305748;-0.00131630887264262},F11^{1;2})+251.155894351646</f>
        <v>251.155894351646</v>
      </c>
      <c r="F29" s="230">
        <v>10</v>
      </c>
      <c r="G29" s="230">
        <v>42.8</v>
      </c>
      <c r="H29" s="230">
        <v>630</v>
      </c>
      <c r="I29" s="232"/>
      <c r="J29" s="233">
        <f>O10</f>
        <v>-3.0601560557638883</v>
      </c>
      <c r="K29" s="234">
        <f>IF($L$11="汽",$V$1,IF($J$11="",$R$1,IF(AND($K$11&lt;$J$11,K11&lt;&gt;""),$R$1,$V$1)))</f>
        <v>0.85</v>
      </c>
      <c r="L29" s="234">
        <f t="shared" si="16"/>
        <v>2.0921285999492114</v>
      </c>
      <c r="M29" s="235">
        <f t="shared" si="15"/>
        <v>-3.0601560557638883</v>
      </c>
      <c r="N29" s="423">
        <v>9.6999999999999993</v>
      </c>
      <c r="O29" s="35" t="str">
        <f t="shared" si="17"/>
        <v/>
      </c>
    </row>
    <row r="30" spans="1:28" ht="16.2" thickBot="1">
      <c r="A30" s="422"/>
      <c r="B30" s="148" t="s">
        <v>109</v>
      </c>
      <c r="C30" s="149">
        <v>200</v>
      </c>
      <c r="D30" s="149">
        <v>400</v>
      </c>
      <c r="E30" s="150">
        <f>SUMPRODUCT({0.0459892081910414;-0.00252738476533821},F11^{1;2})+469.87730435586</f>
        <v>469.87730435586002</v>
      </c>
      <c r="F30" s="149">
        <v>10</v>
      </c>
      <c r="G30" s="149">
        <v>73</v>
      </c>
      <c r="H30" s="149">
        <v>1100</v>
      </c>
      <c r="I30" s="153">
        <v>2</v>
      </c>
      <c r="J30" s="151">
        <f>M29</f>
        <v>-3.0601560557638883</v>
      </c>
      <c r="K30" s="226">
        <f>K29</f>
        <v>0.85</v>
      </c>
      <c r="L30" s="201">
        <f t="shared" si="16"/>
        <v>3.9140779452843133</v>
      </c>
      <c r="M30" s="225">
        <f t="shared" si="15"/>
        <v>4.7679998348047388</v>
      </c>
      <c r="N30" s="424"/>
      <c r="O30" s="35" t="str">
        <f>IF(I30&gt;0,I30 &amp; "大","")</f>
        <v>2大</v>
      </c>
    </row>
    <row r="31" spans="1:28">
      <c r="O31" s="179" t="str">
        <f>O21&amp;O22&amp;"+"&amp;O23&amp;O24&amp;"+"&amp;O25&amp;O26&amp;"/"&amp;O27&amp;O28&amp;"+"&amp;O29&amp;O30</f>
        <v>2大+2大+/1小+2大</v>
      </c>
    </row>
    <row r="32" spans="1:28">
      <c r="C32" s="332"/>
      <c r="D32" s="38" t="s">
        <v>34</v>
      </c>
      <c r="E32" s="33" t="s">
        <v>33</v>
      </c>
      <c r="F32" s="33" t="s">
        <v>154</v>
      </c>
      <c r="G32" s="33" t="s">
        <v>38</v>
      </c>
    </row>
    <row r="33" spans="3:7">
      <c r="C33" s="22">
        <v>92</v>
      </c>
      <c r="D33" s="45">
        <f>SUM(E33:K33)*11/30</f>
        <v>0</v>
      </c>
      <c r="E33" s="45">
        <f>(F33+G33+H33+I33)*145/155</f>
        <v>0</v>
      </c>
      <c r="F33" s="45">
        <f>(G33+H33+I33)*9/10</f>
        <v>0</v>
      </c>
      <c r="G33" s="45">
        <f>(H33+I33)*50/105</f>
        <v>0</v>
      </c>
    </row>
    <row r="34" spans="3:7">
      <c r="C34" s="35">
        <v>95</v>
      </c>
      <c r="D34" s="45">
        <f>SUM(E34:K34)*40/55</f>
        <v>0</v>
      </c>
      <c r="E34" s="45">
        <f>(F34+G34+H34+I34)*30/25</f>
        <v>0</v>
      </c>
      <c r="F34" s="45">
        <f>(G34+H34+I34)*25/41</f>
        <v>0</v>
      </c>
      <c r="G34" s="45">
        <f>(H34+I34)*1/1.5</f>
        <v>0</v>
      </c>
    </row>
    <row r="35" spans="3:7">
      <c r="C35" s="58" t="s">
        <v>252</v>
      </c>
      <c r="D35" s="45">
        <f>SUM(E35:K35)*13820/30370</f>
        <v>0</v>
      </c>
      <c r="E35" s="45">
        <f>(F35+G35+H35+I35)*4349/12239</f>
        <v>0</v>
      </c>
      <c r="F35" s="45">
        <f>(G35+H35+I35)*2021/2846</f>
        <v>0</v>
      </c>
      <c r="G35" s="45">
        <f>(H35+I35)*1447/1830</f>
        <v>0</v>
      </c>
    </row>
    <row r="36" spans="3:7">
      <c r="C36" s="35">
        <v>0</v>
      </c>
      <c r="D36" s="45">
        <f>SUM(E36:K36)*45/55</f>
        <v>0</v>
      </c>
      <c r="E36" s="45">
        <f>(F36+G36+H36+I36)*30/25</f>
        <v>0</v>
      </c>
      <c r="F36" s="45">
        <f>(G36+H36+I36)*20/25</f>
        <v>0</v>
      </c>
      <c r="G36" s="45">
        <f>(H36+I36)*50/55</f>
        <v>0</v>
      </c>
    </row>
    <row r="37" spans="3:7">
      <c r="C37" s="35" t="s">
        <v>210</v>
      </c>
      <c r="D37" s="45">
        <f>SUM(E37:K37)*4436/37864</f>
        <v>0</v>
      </c>
      <c r="E37" s="45">
        <f>(F37+G37+H37+I37)*18316/19600</f>
        <v>0</v>
      </c>
      <c r="F37" s="45">
        <f>(G37+H37+I37)*2/2</f>
        <v>0</v>
      </c>
      <c r="G37" s="45">
        <f>(H37+I37)/4753*4153</f>
        <v>0</v>
      </c>
    </row>
  </sheetData>
  <mergeCells count="30">
    <mergeCell ref="A29:A30"/>
    <mergeCell ref="N29:N30"/>
    <mergeCell ref="A20:A22"/>
    <mergeCell ref="N21:N22"/>
    <mergeCell ref="A23:A24"/>
    <mergeCell ref="N23:N24"/>
    <mergeCell ref="A25:A26"/>
    <mergeCell ref="N25:N26"/>
    <mergeCell ref="A1:A2"/>
    <mergeCell ref="B1:B2"/>
    <mergeCell ref="C1:C2"/>
    <mergeCell ref="D1:D2"/>
    <mergeCell ref="A27:A28"/>
    <mergeCell ref="A17:O17"/>
    <mergeCell ref="A18:A19"/>
    <mergeCell ref="B18:B19"/>
    <mergeCell ref="C18:D18"/>
    <mergeCell ref="F18:H18"/>
    <mergeCell ref="J18:N18"/>
    <mergeCell ref="E1:E2"/>
    <mergeCell ref="F1:F2"/>
    <mergeCell ref="N27:N28"/>
    <mergeCell ref="P1:P2"/>
    <mergeCell ref="G1:H1"/>
    <mergeCell ref="AA2:AB2"/>
    <mergeCell ref="I1:I2"/>
    <mergeCell ref="L1:L2"/>
    <mergeCell ref="M1:M2"/>
    <mergeCell ref="N1:N2"/>
    <mergeCell ref="O1:O2"/>
  </mergeCells>
  <phoneticPr fontId="9" type="noConversion"/>
  <conditionalFormatting sqref="O4:O13">
    <cfRule type="cellIs" dxfId="2" priority="2" operator="equal">
      <formula>0</formula>
    </cfRule>
    <cfRule type="cellIs" dxfId="1" priority="3" operator="between">
      <formula>AA4</formula>
      <formula>AB4</formula>
    </cfRule>
  </conditionalFormatting>
  <conditionalFormatting sqref="M4:M13">
    <cfRule type="cellIs" dxfId="0" priority="1" operator="between">
      <formula>0</formula>
      <formula>AC4</formula>
    </cfRule>
  </conditionalFormatting>
  <dataValidations count="2">
    <dataValidation type="list" allowBlank="1" showInputMessage="1" showErrorMessage="1" sqref="L4:L13">
      <formula1>$N$15:$N$16</formula1>
    </dataValidation>
    <dataValidation allowBlank="1" showInputMessage="1" sqref="R1"/>
  </dataValidations>
  <pageMargins left="0.7" right="0.7" top="0.75" bottom="0.75" header="0.3" footer="0.3"/>
  <pageSetup paperSize="9" scale="89" fitToHeight="0" orientation="landscape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4"/>
  <sheetViews>
    <sheetView zoomScale="85" zoomScaleNormal="85" workbookViewId="0">
      <selection activeCell="L10" sqref="L10"/>
    </sheetView>
  </sheetViews>
  <sheetFormatPr defaultColWidth="6.33203125" defaultRowHeight="14.4"/>
  <cols>
    <col min="1" max="1" width="7.44140625" customWidth="1"/>
    <col min="2" max="2" width="7" customWidth="1"/>
    <col min="3" max="4" width="13.109375" customWidth="1"/>
    <col min="5" max="5" width="7.6640625" customWidth="1"/>
    <col min="6" max="6" width="13.44140625" customWidth="1"/>
    <col min="7" max="7" width="8.6640625" customWidth="1"/>
    <col min="8" max="8" width="6.109375" customWidth="1"/>
    <col min="9" max="9" width="11.77734375" customWidth="1"/>
    <col min="10" max="10" width="8.6640625" customWidth="1"/>
    <col min="11" max="11" width="9.6640625" customWidth="1"/>
    <col min="12" max="12" width="18.6640625" customWidth="1"/>
    <col min="13" max="13" width="10.6640625" customWidth="1"/>
    <col min="14" max="14" width="8.77734375" customWidth="1"/>
  </cols>
  <sheetData>
    <row r="1" spans="1:17" ht="15" thickBot="1">
      <c r="A1" s="439" t="s">
        <v>39</v>
      </c>
      <c r="B1" s="437" t="s">
        <v>42</v>
      </c>
      <c r="C1" s="437"/>
      <c r="D1" s="437" t="s">
        <v>2</v>
      </c>
      <c r="E1" s="437"/>
      <c r="F1" s="436" t="s">
        <v>248</v>
      </c>
      <c r="G1" s="437"/>
      <c r="H1" s="436" t="s">
        <v>249</v>
      </c>
      <c r="I1" s="437"/>
      <c r="J1" s="437" t="s">
        <v>40</v>
      </c>
      <c r="K1" s="437"/>
      <c r="L1" s="436" t="s">
        <v>73</v>
      </c>
      <c r="M1" s="437"/>
      <c r="N1" s="436" t="s">
        <v>76</v>
      </c>
      <c r="O1" s="437"/>
      <c r="P1" s="74"/>
      <c r="Q1" s="74"/>
    </row>
    <row r="2" spans="1:17" ht="18" thickBot="1">
      <c r="A2" s="440"/>
      <c r="B2" s="438" t="s">
        <v>285</v>
      </c>
      <c r="C2" s="438"/>
      <c r="D2" s="438" t="s">
        <v>285</v>
      </c>
      <c r="E2" s="438"/>
      <c r="F2" s="438" t="s">
        <v>286</v>
      </c>
      <c r="G2" s="438"/>
      <c r="H2" s="438" t="s">
        <v>287</v>
      </c>
      <c r="I2" s="438"/>
      <c r="J2" s="438"/>
      <c r="K2" s="438"/>
      <c r="L2" s="443">
        <f>运行!Y4</f>
        <v>42904.833333333336</v>
      </c>
      <c r="M2" s="444"/>
      <c r="N2" s="441" t="s">
        <v>288</v>
      </c>
      <c r="O2" s="442"/>
      <c r="P2" s="74"/>
      <c r="Q2" s="74"/>
    </row>
    <row r="3" spans="1:17" s="39" customFormat="1" ht="15.6">
      <c r="A3" s="395" t="s">
        <v>9</v>
      </c>
      <c r="B3" s="389" t="s">
        <v>10</v>
      </c>
      <c r="C3" s="389" t="s">
        <v>18</v>
      </c>
      <c r="D3" s="389" t="s">
        <v>19</v>
      </c>
      <c r="E3" s="397" t="s">
        <v>20</v>
      </c>
      <c r="F3" s="389" t="s">
        <v>11</v>
      </c>
      <c r="G3" s="391" t="s">
        <v>40</v>
      </c>
      <c r="H3" s="393" t="s">
        <v>12</v>
      </c>
      <c r="I3" s="389" t="s">
        <v>13</v>
      </c>
      <c r="J3" s="389"/>
      <c r="K3" s="389" t="s">
        <v>14</v>
      </c>
      <c r="L3" s="389"/>
      <c r="M3" s="387" t="s">
        <v>15</v>
      </c>
      <c r="N3" s="291"/>
      <c r="O3" s="291"/>
      <c r="P3" s="291"/>
      <c r="Q3" s="291"/>
    </row>
    <row r="4" spans="1:17" s="39" customFormat="1" ht="28.8">
      <c r="A4" s="396"/>
      <c r="B4" s="390"/>
      <c r="C4" s="390"/>
      <c r="D4" s="390"/>
      <c r="E4" s="398"/>
      <c r="F4" s="390"/>
      <c r="G4" s="392"/>
      <c r="H4" s="394"/>
      <c r="I4" s="285" t="s">
        <v>21</v>
      </c>
      <c r="J4" s="285" t="s">
        <v>22</v>
      </c>
      <c r="K4" s="43" t="s">
        <v>16</v>
      </c>
      <c r="L4" s="285" t="s">
        <v>23</v>
      </c>
      <c r="M4" s="388"/>
      <c r="N4" s="291"/>
      <c r="O4" s="291"/>
      <c r="P4" s="292" t="s">
        <v>73</v>
      </c>
      <c r="Q4" s="292" t="s">
        <v>74</v>
      </c>
    </row>
  </sheetData>
  <mergeCells count="26">
    <mergeCell ref="A3:A4"/>
    <mergeCell ref="K3:L3"/>
    <mergeCell ref="M3:M4"/>
    <mergeCell ref="I3:J3"/>
    <mergeCell ref="H3:H4"/>
    <mergeCell ref="B3:B4"/>
    <mergeCell ref="G3:G4"/>
    <mergeCell ref="C3:C4"/>
    <mergeCell ref="F3:F4"/>
    <mergeCell ref="D3:D4"/>
    <mergeCell ref="E3:E4"/>
    <mergeCell ref="N1:O1"/>
    <mergeCell ref="N2:O2"/>
    <mergeCell ref="J2:K2"/>
    <mergeCell ref="L1:M1"/>
    <mergeCell ref="L2:M2"/>
    <mergeCell ref="J1:K1"/>
    <mergeCell ref="H1:I1"/>
    <mergeCell ref="H2:I2"/>
    <mergeCell ref="A1:A2"/>
    <mergeCell ref="B2:C2"/>
    <mergeCell ref="B1:C1"/>
    <mergeCell ref="D1:E1"/>
    <mergeCell ref="F1:G1"/>
    <mergeCell ref="D2:E2"/>
    <mergeCell ref="F2:G2"/>
  </mergeCells>
  <phoneticPr fontId="3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0</xdr:colOff>
                <xdr:row>2</xdr:row>
                <xdr:rowOff>60960</xdr:rowOff>
              </from>
              <to>
                <xdr:col>14</xdr:col>
                <xdr:colOff>426720</xdr:colOff>
                <xdr:row>3</xdr:row>
                <xdr:rowOff>243840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13</xdr:col>
                <xdr:colOff>7620</xdr:colOff>
                <xdr:row>4</xdr:row>
                <xdr:rowOff>0</xdr:rowOff>
              </from>
              <to>
                <xdr:col>15</xdr:col>
                <xdr:colOff>0</xdr:colOff>
                <xdr:row>6</xdr:row>
                <xdr:rowOff>15240</xdr:rowOff>
              </to>
            </anchor>
          </controlPr>
        </control>
      </mc:Choice>
      <mc:Fallback>
        <control shapeId="5122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M65"/>
  <sheetViews>
    <sheetView topLeftCell="A34" zoomScale="85" zoomScaleNormal="85" workbookViewId="0">
      <selection activeCell="A34" sqref="A32:M34"/>
    </sheetView>
  </sheetViews>
  <sheetFormatPr defaultColWidth="9" defaultRowHeight="14.4"/>
  <cols>
    <col min="1" max="1" width="6.33203125" style="65" customWidth="1"/>
    <col min="2" max="2" width="8.77734375" style="65" customWidth="1"/>
    <col min="3" max="4" width="13.6640625" style="65" bestFit="1" customWidth="1"/>
    <col min="5" max="5" width="8.6640625" style="66" customWidth="1"/>
    <col min="6" max="6" width="14.44140625" style="65" customWidth="1"/>
    <col min="7" max="7" width="7.88671875" style="65" hidden="1" customWidth="1"/>
    <col min="8" max="8" width="5.88671875" style="67" bestFit="1" customWidth="1"/>
    <col min="9" max="9" width="9" style="65" customWidth="1"/>
    <col min="10" max="10" width="10.6640625" style="65" customWidth="1"/>
    <col min="11" max="11" width="9" style="128" bestFit="1" customWidth="1"/>
    <col min="12" max="12" width="17.6640625" style="65" customWidth="1"/>
    <col min="13" max="13" width="18.77734375" style="65" customWidth="1"/>
    <col min="14" max="16384" width="9" style="65"/>
  </cols>
  <sheetData>
    <row r="2" spans="1:13" ht="22.2">
      <c r="A2" s="64"/>
    </row>
    <row r="3" spans="1:13" ht="84" customHeight="1">
      <c r="A3" s="126"/>
    </row>
    <row r="4" spans="1:13" s="266" customFormat="1" ht="44.25" customHeight="1">
      <c r="A4" s="445" t="s">
        <v>247</v>
      </c>
      <c r="B4" s="445"/>
      <c r="C4" s="445"/>
      <c r="D4" s="445"/>
      <c r="E4" s="445"/>
      <c r="F4" s="445"/>
      <c r="G4" s="445"/>
      <c r="H4" s="445"/>
      <c r="I4" s="445"/>
      <c r="J4" s="445"/>
      <c r="K4" s="445"/>
      <c r="L4" s="445"/>
      <c r="M4" s="445"/>
    </row>
    <row r="5" spans="1:13" ht="17.399999999999999">
      <c r="A5" s="61"/>
    </row>
    <row r="6" spans="1:13" ht="17.399999999999999">
      <c r="A6" s="61"/>
    </row>
    <row r="7" spans="1:13" ht="22.2">
      <c r="A7" s="446" t="s">
        <v>349</v>
      </c>
      <c r="B7" s="447"/>
      <c r="C7" s="447"/>
      <c r="D7" s="447"/>
      <c r="E7" s="447"/>
      <c r="F7" s="447"/>
      <c r="G7" s="447"/>
      <c r="H7" s="447"/>
      <c r="I7" s="447"/>
      <c r="J7" s="447"/>
      <c r="K7" s="447"/>
      <c r="L7" s="447"/>
      <c r="M7" s="447"/>
    </row>
    <row r="8" spans="1:13" ht="22.8">
      <c r="A8" s="62"/>
    </row>
    <row r="9" spans="1:13" ht="22.2">
      <c r="A9" s="448" t="s">
        <v>350</v>
      </c>
      <c r="B9" s="448"/>
      <c r="C9" s="448"/>
      <c r="D9" s="448"/>
      <c r="E9" s="448"/>
      <c r="F9" s="448"/>
      <c r="G9" s="448"/>
      <c r="H9" s="448"/>
      <c r="I9" s="448"/>
      <c r="J9" s="448"/>
      <c r="K9" s="448"/>
      <c r="L9" s="448"/>
      <c r="M9" s="448"/>
    </row>
    <row r="10" spans="1:13" ht="22.2">
      <c r="A10" s="127"/>
    </row>
    <row r="11" spans="1:13" ht="21">
      <c r="A11" s="68"/>
    </row>
    <row r="12" spans="1:13" ht="21">
      <c r="A12" s="68"/>
    </row>
    <row r="13" spans="1:13" ht="39.75" customHeight="1">
      <c r="A13" s="449" t="s">
        <v>289</v>
      </c>
      <c r="B13" s="449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</row>
    <row r="14" spans="1:13" ht="21">
      <c r="A14" s="68"/>
    </row>
    <row r="15" spans="1:13" ht="30.75" customHeight="1">
      <c r="A15" s="449" t="s">
        <v>87</v>
      </c>
      <c r="B15" s="449"/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</row>
    <row r="16" spans="1:13" ht="30.75" customHeight="1">
      <c r="A16" s="450" t="s">
        <v>351</v>
      </c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</row>
    <row r="17" spans="1:13" ht="19.2">
      <c r="A17" s="69"/>
    </row>
    <row r="18" spans="1:13" ht="19.2">
      <c r="A18" s="69"/>
    </row>
    <row r="19" spans="1:13" ht="21" customHeight="1">
      <c r="A19" s="126"/>
    </row>
    <row r="20" spans="1:13" ht="27.75" customHeight="1">
      <c r="A20" s="126"/>
    </row>
    <row r="21" spans="1:13" ht="28.2">
      <c r="A21" s="451" t="s">
        <v>75</v>
      </c>
      <c r="B21" s="451"/>
      <c r="C21" s="451"/>
      <c r="D21" s="451"/>
      <c r="E21" s="451"/>
      <c r="F21" s="451"/>
      <c r="G21" s="451"/>
      <c r="H21" s="451"/>
      <c r="I21" s="451"/>
      <c r="J21" s="451"/>
      <c r="K21" s="451"/>
      <c r="L21" s="451"/>
      <c r="M21" s="451"/>
    </row>
    <row r="22" spans="1:13" ht="22.2">
      <c r="A22" s="452" t="s">
        <v>352</v>
      </c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</row>
    <row r="23" spans="1:13" ht="18" thickBot="1">
      <c r="A23" s="453" t="s">
        <v>353</v>
      </c>
      <c r="B23" s="453"/>
      <c r="C23" s="453"/>
      <c r="D23" s="453"/>
      <c r="E23" s="453"/>
      <c r="F23" s="453"/>
      <c r="G23" s="453"/>
      <c r="H23" s="453"/>
      <c r="I23" s="453"/>
      <c r="J23" s="453"/>
      <c r="K23" s="453"/>
      <c r="L23" s="453"/>
      <c r="M23" s="453"/>
    </row>
    <row r="24" spans="1:13" ht="18.75" customHeight="1">
      <c r="A24" s="454" t="s">
        <v>9</v>
      </c>
      <c r="B24" s="456" t="s">
        <v>10</v>
      </c>
      <c r="C24" s="456" t="s">
        <v>18</v>
      </c>
      <c r="D24" s="456" t="s">
        <v>19</v>
      </c>
      <c r="E24" s="460" t="s">
        <v>20</v>
      </c>
      <c r="F24" s="456" t="s">
        <v>11</v>
      </c>
      <c r="G24" s="456" t="s">
        <v>64</v>
      </c>
      <c r="H24" s="462" t="s">
        <v>12</v>
      </c>
      <c r="I24" s="456" t="s">
        <v>13</v>
      </c>
      <c r="J24" s="456"/>
      <c r="K24" s="456" t="s">
        <v>14</v>
      </c>
      <c r="L24" s="456"/>
      <c r="M24" s="458" t="s">
        <v>15</v>
      </c>
    </row>
    <row r="25" spans="1:13" ht="18.75" customHeight="1" thickBot="1">
      <c r="A25" s="455"/>
      <c r="B25" s="457"/>
      <c r="C25" s="457"/>
      <c r="D25" s="457"/>
      <c r="E25" s="461"/>
      <c r="F25" s="457"/>
      <c r="G25" s="457"/>
      <c r="H25" s="463"/>
      <c r="I25" s="125" t="s">
        <v>21</v>
      </c>
      <c r="J25" s="125" t="s">
        <v>22</v>
      </c>
      <c r="K25" s="63" t="s">
        <v>16</v>
      </c>
      <c r="L25" s="125" t="s">
        <v>23</v>
      </c>
      <c r="M25" s="459"/>
    </row>
    <row r="26" spans="1:13" ht="15.6">
      <c r="A26" s="337">
        <v>1</v>
      </c>
      <c r="B26" s="464" t="s">
        <v>31</v>
      </c>
      <c r="C26" s="345" t="s">
        <v>280</v>
      </c>
      <c r="D26" s="345" t="s">
        <v>281</v>
      </c>
      <c r="E26" s="345">
        <v>18.399999999999999</v>
      </c>
      <c r="F26" s="345" t="s">
        <v>285</v>
      </c>
      <c r="G26" s="345">
        <v>1</v>
      </c>
      <c r="H26" s="345" t="s">
        <v>45</v>
      </c>
      <c r="I26" s="345">
        <v>10000</v>
      </c>
      <c r="J26" s="345">
        <v>11630</v>
      </c>
      <c r="K26" s="345">
        <v>543</v>
      </c>
      <c r="L26" s="345">
        <v>631</v>
      </c>
      <c r="M26" s="338"/>
    </row>
    <row r="27" spans="1:13" ht="15.6">
      <c r="A27" s="339">
        <v>2</v>
      </c>
      <c r="B27" s="466"/>
      <c r="C27" s="346" t="s">
        <v>281</v>
      </c>
      <c r="D27" s="346" t="s">
        <v>282</v>
      </c>
      <c r="E27" s="346">
        <v>2</v>
      </c>
      <c r="F27" s="346" t="s">
        <v>285</v>
      </c>
      <c r="G27" s="346">
        <v>8</v>
      </c>
      <c r="H27" s="346" t="s">
        <v>43</v>
      </c>
      <c r="I27" s="346">
        <v>1020</v>
      </c>
      <c r="J27" s="346">
        <v>1200</v>
      </c>
      <c r="K27" s="346">
        <v>510</v>
      </c>
      <c r="L27" s="346">
        <v>600</v>
      </c>
      <c r="M27" s="340"/>
    </row>
    <row r="28" spans="1:13" ht="15.6">
      <c r="A28" s="339">
        <v>3</v>
      </c>
      <c r="B28" s="466"/>
      <c r="C28" s="346" t="s">
        <v>282</v>
      </c>
      <c r="D28" s="346" t="s">
        <v>283</v>
      </c>
      <c r="E28" s="346">
        <v>22.1</v>
      </c>
      <c r="F28" s="346" t="s">
        <v>286</v>
      </c>
      <c r="G28" s="346">
        <v>3</v>
      </c>
      <c r="H28" s="346" t="s">
        <v>277</v>
      </c>
      <c r="I28" s="346">
        <v>10000</v>
      </c>
      <c r="J28" s="346">
        <v>13420</v>
      </c>
      <c r="K28" s="346">
        <v>453</v>
      </c>
      <c r="L28" s="346" t="s">
        <v>279</v>
      </c>
      <c r="M28" s="340"/>
    </row>
    <row r="29" spans="1:13" ht="15.6">
      <c r="A29" s="339">
        <v>4</v>
      </c>
      <c r="B29" s="466"/>
      <c r="C29" s="346" t="s">
        <v>283</v>
      </c>
      <c r="D29" s="346" t="s">
        <v>319</v>
      </c>
      <c r="E29" s="346">
        <v>22.8</v>
      </c>
      <c r="F29" s="346" t="s">
        <v>287</v>
      </c>
      <c r="G29" s="346">
        <v>7</v>
      </c>
      <c r="H29" s="346" t="s">
        <v>293</v>
      </c>
      <c r="I29" s="346">
        <v>10000</v>
      </c>
      <c r="J29" s="346">
        <v>13330</v>
      </c>
      <c r="K29" s="346">
        <v>439</v>
      </c>
      <c r="L29" s="346" t="s">
        <v>294</v>
      </c>
      <c r="M29" s="340"/>
    </row>
    <row r="30" spans="1:13" ht="46.8">
      <c r="A30" s="339">
        <v>5</v>
      </c>
      <c r="B30" s="466"/>
      <c r="C30" s="346" t="s">
        <v>319</v>
      </c>
      <c r="D30" s="346" t="s">
        <v>320</v>
      </c>
      <c r="E30" s="346">
        <v>58.8</v>
      </c>
      <c r="F30" s="346" t="s">
        <v>286</v>
      </c>
      <c r="G30" s="346">
        <v>3</v>
      </c>
      <c r="H30" s="346" t="s">
        <v>277</v>
      </c>
      <c r="I30" s="346">
        <v>34000</v>
      </c>
      <c r="J30" s="346">
        <v>45640</v>
      </c>
      <c r="K30" s="346">
        <v>578</v>
      </c>
      <c r="L30" s="346" t="s">
        <v>295</v>
      </c>
      <c r="M30" s="340"/>
    </row>
    <row r="31" spans="1:13" ht="31.8" thickBot="1">
      <c r="A31" s="341">
        <v>6</v>
      </c>
      <c r="B31" s="465"/>
      <c r="C31" s="347" t="s">
        <v>320</v>
      </c>
      <c r="D31" s="347" t="s">
        <v>321</v>
      </c>
      <c r="E31" s="347">
        <v>116.8</v>
      </c>
      <c r="F31" s="347" t="s">
        <v>285</v>
      </c>
      <c r="G31" s="347">
        <v>8</v>
      </c>
      <c r="H31" s="347" t="s">
        <v>43</v>
      </c>
      <c r="I31" s="347">
        <v>58180</v>
      </c>
      <c r="J31" s="347">
        <v>68440</v>
      </c>
      <c r="K31" s="347">
        <v>498</v>
      </c>
      <c r="L31" s="347" t="s">
        <v>296</v>
      </c>
      <c r="M31" s="342"/>
    </row>
    <row r="32" spans="1:13" ht="15.6">
      <c r="A32" s="337">
        <v>7</v>
      </c>
      <c r="B32" s="464" t="s">
        <v>29</v>
      </c>
      <c r="C32" s="345" t="s">
        <v>280</v>
      </c>
      <c r="D32" s="345" t="s">
        <v>281</v>
      </c>
      <c r="E32" s="345">
        <v>18.399999999999999</v>
      </c>
      <c r="F32" s="345" t="s">
        <v>285</v>
      </c>
      <c r="G32" s="345">
        <v>8</v>
      </c>
      <c r="H32" s="345" t="s">
        <v>43</v>
      </c>
      <c r="I32" s="345">
        <v>500</v>
      </c>
      <c r="J32" s="345">
        <v>590</v>
      </c>
      <c r="K32" s="345">
        <v>27</v>
      </c>
      <c r="L32" s="345">
        <v>31</v>
      </c>
      <c r="M32" s="338"/>
    </row>
    <row r="33" spans="1:13" ht="15.6">
      <c r="A33" s="339">
        <v>8</v>
      </c>
      <c r="B33" s="466"/>
      <c r="C33" s="346" t="s">
        <v>322</v>
      </c>
      <c r="D33" s="346" t="s">
        <v>323</v>
      </c>
      <c r="E33" s="346">
        <v>10.199999999999999</v>
      </c>
      <c r="F33" s="346" t="s">
        <v>287</v>
      </c>
      <c r="G33" s="346">
        <v>7</v>
      </c>
      <c r="H33" s="346" t="s">
        <v>293</v>
      </c>
      <c r="I33" s="346">
        <v>500</v>
      </c>
      <c r="J33" s="346">
        <v>670</v>
      </c>
      <c r="K33" s="346">
        <v>49</v>
      </c>
      <c r="L33" s="346" t="s">
        <v>297</v>
      </c>
      <c r="M33" s="340"/>
    </row>
    <row r="34" spans="1:13" ht="16.2" thickBot="1">
      <c r="A34" s="341">
        <v>9</v>
      </c>
      <c r="B34" s="465"/>
      <c r="C34" s="347" t="s">
        <v>324</v>
      </c>
      <c r="D34" s="347" t="s">
        <v>325</v>
      </c>
      <c r="E34" s="347">
        <v>14.6</v>
      </c>
      <c r="F34" s="347" t="s">
        <v>286</v>
      </c>
      <c r="G34" s="347">
        <v>3</v>
      </c>
      <c r="H34" s="347" t="s">
        <v>277</v>
      </c>
      <c r="I34" s="347">
        <v>1000</v>
      </c>
      <c r="J34" s="347">
        <v>1340</v>
      </c>
      <c r="K34" s="347">
        <v>68</v>
      </c>
      <c r="L34" s="347" t="s">
        <v>298</v>
      </c>
      <c r="M34" s="342"/>
    </row>
    <row r="35" spans="1:13" ht="15.6">
      <c r="A35" s="337">
        <v>10</v>
      </c>
      <c r="B35" s="464" t="s">
        <v>28</v>
      </c>
      <c r="C35" s="345" t="s">
        <v>280</v>
      </c>
      <c r="D35" s="345" t="s">
        <v>284</v>
      </c>
      <c r="E35" s="345">
        <v>33.1</v>
      </c>
      <c r="F35" s="345" t="s">
        <v>285</v>
      </c>
      <c r="G35" s="345">
        <v>8</v>
      </c>
      <c r="H35" s="345" t="s">
        <v>43</v>
      </c>
      <c r="I35" s="345">
        <v>6960</v>
      </c>
      <c r="J35" s="345">
        <v>8180</v>
      </c>
      <c r="K35" s="345">
        <v>210</v>
      </c>
      <c r="L35" s="345">
        <v>247</v>
      </c>
      <c r="M35" s="338"/>
    </row>
    <row r="36" spans="1:13" ht="15.6">
      <c r="A36" s="339">
        <v>11</v>
      </c>
      <c r="B36" s="466"/>
      <c r="C36" s="346" t="s">
        <v>284</v>
      </c>
      <c r="D36" s="346" t="s">
        <v>326</v>
      </c>
      <c r="E36" s="346">
        <v>18.899999999999999</v>
      </c>
      <c r="F36" s="346" t="s">
        <v>285</v>
      </c>
      <c r="G36" s="346">
        <v>1</v>
      </c>
      <c r="H36" s="346" t="s">
        <v>45</v>
      </c>
      <c r="I36" s="346">
        <v>4500</v>
      </c>
      <c r="J36" s="346">
        <v>5230</v>
      </c>
      <c r="K36" s="346">
        <v>239</v>
      </c>
      <c r="L36" s="346" t="s">
        <v>299</v>
      </c>
      <c r="M36" s="340"/>
    </row>
    <row r="37" spans="1:13" ht="15.6">
      <c r="A37" s="339">
        <v>12</v>
      </c>
      <c r="B37" s="466"/>
      <c r="C37" s="346" t="s">
        <v>326</v>
      </c>
      <c r="D37" s="346" t="s">
        <v>327</v>
      </c>
      <c r="E37" s="346">
        <v>2.1</v>
      </c>
      <c r="F37" s="346" t="s">
        <v>285</v>
      </c>
      <c r="G37" s="346">
        <v>8</v>
      </c>
      <c r="H37" s="346" t="s">
        <v>43</v>
      </c>
      <c r="I37" s="346">
        <v>270</v>
      </c>
      <c r="J37" s="346">
        <v>320</v>
      </c>
      <c r="K37" s="346">
        <v>129</v>
      </c>
      <c r="L37" s="346">
        <v>151</v>
      </c>
      <c r="M37" s="340"/>
    </row>
    <row r="38" spans="1:13" ht="15.6">
      <c r="A38" s="339">
        <v>13</v>
      </c>
      <c r="B38" s="466"/>
      <c r="C38" s="346" t="s">
        <v>327</v>
      </c>
      <c r="D38" s="346" t="s">
        <v>328</v>
      </c>
      <c r="E38" s="346">
        <v>24.2</v>
      </c>
      <c r="F38" s="346" t="s">
        <v>286</v>
      </c>
      <c r="G38" s="346">
        <v>3</v>
      </c>
      <c r="H38" s="346" t="s">
        <v>277</v>
      </c>
      <c r="I38" s="346">
        <v>2700</v>
      </c>
      <c r="J38" s="346">
        <v>3630</v>
      </c>
      <c r="K38" s="346">
        <v>112</v>
      </c>
      <c r="L38" s="346" t="s">
        <v>300</v>
      </c>
      <c r="M38" s="340"/>
    </row>
    <row r="39" spans="1:13" ht="15.6">
      <c r="A39" s="339">
        <v>14</v>
      </c>
      <c r="B39" s="466"/>
      <c r="C39" s="346" t="s">
        <v>328</v>
      </c>
      <c r="D39" s="346" t="s">
        <v>329</v>
      </c>
      <c r="E39" s="346">
        <v>15.5</v>
      </c>
      <c r="F39" s="346" t="s">
        <v>287</v>
      </c>
      <c r="G39" s="346">
        <v>7</v>
      </c>
      <c r="H39" s="346" t="s">
        <v>293</v>
      </c>
      <c r="I39" s="346">
        <v>4000</v>
      </c>
      <c r="J39" s="346">
        <v>5330</v>
      </c>
      <c r="K39" s="346">
        <v>257</v>
      </c>
      <c r="L39" s="346" t="s">
        <v>301</v>
      </c>
      <c r="M39" s="340"/>
    </row>
    <row r="40" spans="1:13" ht="31.2">
      <c r="A40" s="339">
        <v>15</v>
      </c>
      <c r="B40" s="466"/>
      <c r="C40" s="346" t="s">
        <v>329</v>
      </c>
      <c r="D40" s="346" t="s">
        <v>330</v>
      </c>
      <c r="E40" s="346">
        <v>55.6</v>
      </c>
      <c r="F40" s="346" t="s">
        <v>286</v>
      </c>
      <c r="G40" s="346">
        <v>3</v>
      </c>
      <c r="H40" s="346" t="s">
        <v>277</v>
      </c>
      <c r="I40" s="346">
        <v>10300</v>
      </c>
      <c r="J40" s="346">
        <v>13820</v>
      </c>
      <c r="K40" s="346">
        <v>185</v>
      </c>
      <c r="L40" s="346" t="s">
        <v>302</v>
      </c>
      <c r="M40" s="340"/>
    </row>
    <row r="41" spans="1:13" ht="16.2" thickBot="1">
      <c r="A41" s="341">
        <v>16</v>
      </c>
      <c r="B41" s="465"/>
      <c r="C41" s="347" t="s">
        <v>331</v>
      </c>
      <c r="D41" s="347" t="s">
        <v>321</v>
      </c>
      <c r="E41" s="347">
        <v>47.7</v>
      </c>
      <c r="F41" s="347" t="s">
        <v>285</v>
      </c>
      <c r="G41" s="347">
        <v>8</v>
      </c>
      <c r="H41" s="347" t="s">
        <v>43</v>
      </c>
      <c r="I41" s="347">
        <v>3770</v>
      </c>
      <c r="J41" s="347">
        <v>4440</v>
      </c>
      <c r="K41" s="347">
        <v>79</v>
      </c>
      <c r="L41" s="347">
        <v>93</v>
      </c>
      <c r="M41" s="342"/>
    </row>
    <row r="42" spans="1:13" ht="15.6">
      <c r="A42" s="337">
        <v>17</v>
      </c>
      <c r="B42" s="464" t="s">
        <v>7</v>
      </c>
      <c r="C42" s="345" t="s">
        <v>280</v>
      </c>
      <c r="D42" s="345" t="s">
        <v>332</v>
      </c>
      <c r="E42" s="345">
        <v>59.2</v>
      </c>
      <c r="F42" s="345" t="s">
        <v>285</v>
      </c>
      <c r="G42" s="345">
        <v>8</v>
      </c>
      <c r="H42" s="345" t="s">
        <v>43</v>
      </c>
      <c r="I42" s="345">
        <v>16400</v>
      </c>
      <c r="J42" s="345">
        <v>19290</v>
      </c>
      <c r="K42" s="345">
        <v>277</v>
      </c>
      <c r="L42" s="345" t="s">
        <v>303</v>
      </c>
      <c r="M42" s="338"/>
    </row>
    <row r="43" spans="1:13" ht="15.6">
      <c r="A43" s="339">
        <v>18</v>
      </c>
      <c r="B43" s="466"/>
      <c r="C43" s="346" t="s">
        <v>332</v>
      </c>
      <c r="D43" s="346" t="s">
        <v>323</v>
      </c>
      <c r="E43" s="346">
        <v>16.899999999999999</v>
      </c>
      <c r="F43" s="346" t="s">
        <v>285</v>
      </c>
      <c r="G43" s="346">
        <v>1</v>
      </c>
      <c r="H43" s="346" t="s">
        <v>45</v>
      </c>
      <c r="I43" s="346">
        <v>3000</v>
      </c>
      <c r="J43" s="346">
        <v>3480</v>
      </c>
      <c r="K43" s="346">
        <v>178</v>
      </c>
      <c r="L43" s="346" t="s">
        <v>304</v>
      </c>
      <c r="M43" s="340"/>
    </row>
    <row r="44" spans="1:13" ht="15.6">
      <c r="A44" s="339">
        <v>19</v>
      </c>
      <c r="B44" s="466"/>
      <c r="C44" s="346" t="s">
        <v>323</v>
      </c>
      <c r="D44" s="346" t="s">
        <v>328</v>
      </c>
      <c r="E44" s="346">
        <v>2.2000000000000002</v>
      </c>
      <c r="F44" s="346" t="s">
        <v>285</v>
      </c>
      <c r="G44" s="346">
        <v>8</v>
      </c>
      <c r="H44" s="346" t="s">
        <v>43</v>
      </c>
      <c r="I44" s="346">
        <v>370</v>
      </c>
      <c r="J44" s="346">
        <v>430</v>
      </c>
      <c r="K44" s="346">
        <v>167</v>
      </c>
      <c r="L44" s="346">
        <v>196</v>
      </c>
      <c r="M44" s="340"/>
    </row>
    <row r="45" spans="1:13" ht="15.6">
      <c r="A45" s="339">
        <v>20</v>
      </c>
      <c r="B45" s="466"/>
      <c r="C45" s="346" t="s">
        <v>328</v>
      </c>
      <c r="D45" s="346" t="s">
        <v>333</v>
      </c>
      <c r="E45" s="346">
        <v>19.399999999999999</v>
      </c>
      <c r="F45" s="346" t="s">
        <v>286</v>
      </c>
      <c r="G45" s="346">
        <v>3</v>
      </c>
      <c r="H45" s="346" t="s">
        <v>277</v>
      </c>
      <c r="I45" s="346">
        <v>3560</v>
      </c>
      <c r="J45" s="346">
        <v>4780</v>
      </c>
      <c r="K45" s="346">
        <v>183</v>
      </c>
      <c r="L45" s="346" t="s">
        <v>305</v>
      </c>
      <c r="M45" s="340"/>
    </row>
    <row r="46" spans="1:13" ht="15.6">
      <c r="A46" s="339">
        <v>21</v>
      </c>
      <c r="B46" s="466"/>
      <c r="C46" s="346" t="s">
        <v>333</v>
      </c>
      <c r="D46" s="346" t="s">
        <v>334</v>
      </c>
      <c r="E46" s="346">
        <v>14.5</v>
      </c>
      <c r="F46" s="346" t="s">
        <v>287</v>
      </c>
      <c r="G46" s="346">
        <v>7</v>
      </c>
      <c r="H46" s="346" t="s">
        <v>293</v>
      </c>
      <c r="I46" s="346">
        <v>3000</v>
      </c>
      <c r="J46" s="346">
        <v>4000</v>
      </c>
      <c r="K46" s="346">
        <v>206</v>
      </c>
      <c r="L46" s="346" t="s">
        <v>306</v>
      </c>
      <c r="M46" s="340"/>
    </row>
    <row r="47" spans="1:13" ht="15.6">
      <c r="A47" s="339">
        <v>22</v>
      </c>
      <c r="B47" s="466"/>
      <c r="C47" s="346" t="s">
        <v>334</v>
      </c>
      <c r="D47" s="346" t="s">
        <v>335</v>
      </c>
      <c r="E47" s="346">
        <v>54.8</v>
      </c>
      <c r="F47" s="346" t="s">
        <v>286</v>
      </c>
      <c r="G47" s="346">
        <v>3</v>
      </c>
      <c r="H47" s="346" t="s">
        <v>277</v>
      </c>
      <c r="I47" s="346">
        <v>10940</v>
      </c>
      <c r="J47" s="346">
        <v>14680</v>
      </c>
      <c r="K47" s="346">
        <v>200</v>
      </c>
      <c r="L47" s="346" t="s">
        <v>307</v>
      </c>
      <c r="M47" s="340"/>
    </row>
    <row r="48" spans="1:13" ht="16.2" thickBot="1">
      <c r="A48" s="341">
        <v>23</v>
      </c>
      <c r="B48" s="465"/>
      <c r="C48" s="347" t="s">
        <v>335</v>
      </c>
      <c r="D48" s="347" t="s">
        <v>321</v>
      </c>
      <c r="E48" s="347">
        <v>73.8</v>
      </c>
      <c r="F48" s="347" t="s">
        <v>285</v>
      </c>
      <c r="G48" s="347">
        <v>8</v>
      </c>
      <c r="H48" s="347" t="s">
        <v>43</v>
      </c>
      <c r="I48" s="347">
        <v>13900</v>
      </c>
      <c r="J48" s="347">
        <v>16350</v>
      </c>
      <c r="K48" s="347">
        <v>188</v>
      </c>
      <c r="L48" s="347" t="s">
        <v>308</v>
      </c>
      <c r="M48" s="342"/>
    </row>
    <row r="49" spans="1:13" ht="15.6">
      <c r="A49" s="337">
        <v>24</v>
      </c>
      <c r="B49" s="464" t="s">
        <v>5</v>
      </c>
      <c r="C49" s="345" t="s">
        <v>336</v>
      </c>
      <c r="D49" s="345" t="s">
        <v>337</v>
      </c>
      <c r="E49" s="345">
        <v>30.1</v>
      </c>
      <c r="F49" s="345" t="s">
        <v>285</v>
      </c>
      <c r="G49" s="345">
        <v>8</v>
      </c>
      <c r="H49" s="345" t="s">
        <v>43</v>
      </c>
      <c r="I49" s="345">
        <v>5840</v>
      </c>
      <c r="J49" s="345">
        <v>6870</v>
      </c>
      <c r="K49" s="345">
        <v>194</v>
      </c>
      <c r="L49" s="345" t="s">
        <v>309</v>
      </c>
      <c r="M49" s="338"/>
    </row>
    <row r="50" spans="1:13" ht="15.6">
      <c r="A50" s="339">
        <v>25</v>
      </c>
      <c r="B50" s="466"/>
      <c r="C50" s="346" t="s">
        <v>337</v>
      </c>
      <c r="D50" s="346" t="s">
        <v>338</v>
      </c>
      <c r="E50" s="346">
        <v>11.2</v>
      </c>
      <c r="F50" s="346" t="s">
        <v>285</v>
      </c>
      <c r="G50" s="346">
        <v>1</v>
      </c>
      <c r="H50" s="346" t="s">
        <v>45</v>
      </c>
      <c r="I50" s="346">
        <v>2510</v>
      </c>
      <c r="J50" s="346">
        <v>2920</v>
      </c>
      <c r="K50" s="346">
        <v>225</v>
      </c>
      <c r="L50" s="346" t="s">
        <v>310</v>
      </c>
      <c r="M50" s="340"/>
    </row>
    <row r="51" spans="1:13" ht="15.6">
      <c r="A51" s="339">
        <v>26</v>
      </c>
      <c r="B51" s="466"/>
      <c r="C51" s="346" t="s">
        <v>338</v>
      </c>
      <c r="D51" s="346" t="s">
        <v>339</v>
      </c>
      <c r="E51" s="346">
        <v>1.6</v>
      </c>
      <c r="F51" s="346" t="s">
        <v>285</v>
      </c>
      <c r="G51" s="346">
        <v>8</v>
      </c>
      <c r="H51" s="346" t="s">
        <v>43</v>
      </c>
      <c r="I51" s="346">
        <v>120</v>
      </c>
      <c r="J51" s="346">
        <v>140</v>
      </c>
      <c r="K51" s="346">
        <v>77</v>
      </c>
      <c r="L51" s="346">
        <v>90</v>
      </c>
      <c r="M51" s="340"/>
    </row>
    <row r="52" spans="1:13" ht="15.6">
      <c r="A52" s="339">
        <v>27</v>
      </c>
      <c r="B52" s="466"/>
      <c r="C52" s="346" t="s">
        <v>339</v>
      </c>
      <c r="D52" s="346" t="s">
        <v>340</v>
      </c>
      <c r="E52" s="346">
        <v>18.2</v>
      </c>
      <c r="F52" s="346" t="s">
        <v>286</v>
      </c>
      <c r="G52" s="346">
        <v>3</v>
      </c>
      <c r="H52" s="346" t="s">
        <v>277</v>
      </c>
      <c r="I52" s="346">
        <v>1230</v>
      </c>
      <c r="J52" s="346">
        <v>1650</v>
      </c>
      <c r="K52" s="346">
        <v>67</v>
      </c>
      <c r="L52" s="346">
        <v>90</v>
      </c>
      <c r="M52" s="340"/>
    </row>
    <row r="53" spans="1:13" ht="15.6">
      <c r="A53" s="339">
        <v>28</v>
      </c>
      <c r="B53" s="466"/>
      <c r="C53" s="346" t="s">
        <v>340</v>
      </c>
      <c r="D53" s="346" t="s">
        <v>341</v>
      </c>
      <c r="E53" s="346">
        <v>11.8</v>
      </c>
      <c r="F53" s="346" t="s">
        <v>287</v>
      </c>
      <c r="G53" s="346">
        <v>7</v>
      </c>
      <c r="H53" s="346" t="s">
        <v>293</v>
      </c>
      <c r="I53" s="346">
        <v>1000</v>
      </c>
      <c r="J53" s="346">
        <v>1330</v>
      </c>
      <c r="K53" s="346">
        <v>85</v>
      </c>
      <c r="L53" s="346">
        <v>113</v>
      </c>
      <c r="M53" s="340"/>
    </row>
    <row r="54" spans="1:13" ht="16.2" thickBot="1">
      <c r="A54" s="341">
        <v>29</v>
      </c>
      <c r="B54" s="465"/>
      <c r="C54" s="347" t="s">
        <v>341</v>
      </c>
      <c r="D54" s="347" t="s">
        <v>331</v>
      </c>
      <c r="E54" s="347">
        <v>52.2</v>
      </c>
      <c r="F54" s="347" t="s">
        <v>286</v>
      </c>
      <c r="G54" s="347">
        <v>3</v>
      </c>
      <c r="H54" s="347" t="s">
        <v>277</v>
      </c>
      <c r="I54" s="347">
        <v>3770</v>
      </c>
      <c r="J54" s="347">
        <v>5060</v>
      </c>
      <c r="K54" s="347">
        <v>72</v>
      </c>
      <c r="L54" s="347" t="s">
        <v>311</v>
      </c>
      <c r="M54" s="342"/>
    </row>
    <row r="55" spans="1:13" ht="15.6">
      <c r="A55" s="337">
        <v>30</v>
      </c>
      <c r="B55" s="464" t="s">
        <v>312</v>
      </c>
      <c r="C55" s="345" t="s">
        <v>342</v>
      </c>
      <c r="D55" s="345" t="s">
        <v>336</v>
      </c>
      <c r="E55" s="345">
        <v>19.100000000000001</v>
      </c>
      <c r="F55" s="345" t="s">
        <v>285</v>
      </c>
      <c r="G55" s="345">
        <v>8</v>
      </c>
      <c r="H55" s="345" t="s">
        <v>43</v>
      </c>
      <c r="I55" s="345">
        <v>1000</v>
      </c>
      <c r="J55" s="345">
        <v>1180</v>
      </c>
      <c r="K55" s="345">
        <v>52</v>
      </c>
      <c r="L55" s="345" t="s">
        <v>313</v>
      </c>
      <c r="M55" s="338"/>
    </row>
    <row r="56" spans="1:13" ht="16.2" thickBot="1">
      <c r="A56" s="341">
        <v>31</v>
      </c>
      <c r="B56" s="465"/>
      <c r="C56" s="347" t="s">
        <v>343</v>
      </c>
      <c r="D56" s="347" t="s">
        <v>344</v>
      </c>
      <c r="E56" s="347">
        <v>34.6</v>
      </c>
      <c r="F56" s="347" t="s">
        <v>286</v>
      </c>
      <c r="G56" s="347">
        <v>3</v>
      </c>
      <c r="H56" s="347" t="s">
        <v>277</v>
      </c>
      <c r="I56" s="347">
        <v>2000</v>
      </c>
      <c r="J56" s="347">
        <v>2680</v>
      </c>
      <c r="K56" s="347">
        <v>58</v>
      </c>
      <c r="L56" s="347" t="s">
        <v>314</v>
      </c>
      <c r="M56" s="342"/>
    </row>
    <row r="57" spans="1:13" ht="15.6">
      <c r="A57" s="337">
        <v>32</v>
      </c>
      <c r="B57" s="464" t="s">
        <v>6</v>
      </c>
      <c r="C57" s="345" t="s">
        <v>342</v>
      </c>
      <c r="D57" s="345" t="s">
        <v>336</v>
      </c>
      <c r="E57" s="345">
        <v>19.100000000000001</v>
      </c>
      <c r="F57" s="345" t="s">
        <v>285</v>
      </c>
      <c r="G57" s="345">
        <v>8</v>
      </c>
      <c r="H57" s="345" t="s">
        <v>43</v>
      </c>
      <c r="I57" s="345">
        <v>2000</v>
      </c>
      <c r="J57" s="345">
        <v>2350</v>
      </c>
      <c r="K57" s="345">
        <v>105</v>
      </c>
      <c r="L57" s="345" t="s">
        <v>315</v>
      </c>
      <c r="M57" s="338"/>
    </row>
    <row r="58" spans="1:13" ht="15.6">
      <c r="A58" s="339">
        <v>33</v>
      </c>
      <c r="B58" s="466"/>
      <c r="C58" s="346" t="s">
        <v>338</v>
      </c>
      <c r="D58" s="346" t="s">
        <v>345</v>
      </c>
      <c r="E58" s="346">
        <v>50.2</v>
      </c>
      <c r="F58" s="346" t="s">
        <v>285</v>
      </c>
      <c r="G58" s="346">
        <v>8</v>
      </c>
      <c r="H58" s="346" t="s">
        <v>43</v>
      </c>
      <c r="I58" s="346">
        <v>8070</v>
      </c>
      <c r="J58" s="346">
        <v>9500</v>
      </c>
      <c r="K58" s="346">
        <v>161</v>
      </c>
      <c r="L58" s="346" t="s">
        <v>316</v>
      </c>
      <c r="M58" s="340"/>
    </row>
    <row r="59" spans="1:13" ht="15.6">
      <c r="A59" s="339">
        <v>34</v>
      </c>
      <c r="B59" s="466"/>
      <c r="C59" s="346" t="s">
        <v>345</v>
      </c>
      <c r="D59" s="346" t="s">
        <v>346</v>
      </c>
      <c r="E59" s="346">
        <v>26.6</v>
      </c>
      <c r="F59" s="346" t="s">
        <v>286</v>
      </c>
      <c r="G59" s="346">
        <v>3</v>
      </c>
      <c r="H59" s="346" t="s">
        <v>277</v>
      </c>
      <c r="I59" s="346">
        <v>2580</v>
      </c>
      <c r="J59" s="346">
        <v>3460</v>
      </c>
      <c r="K59" s="346">
        <v>97</v>
      </c>
      <c r="L59" s="346" t="s">
        <v>317</v>
      </c>
      <c r="M59" s="340"/>
    </row>
    <row r="60" spans="1:13" ht="15.6">
      <c r="A60" s="339">
        <v>35</v>
      </c>
      <c r="B60" s="466"/>
      <c r="C60" s="346" t="s">
        <v>346</v>
      </c>
      <c r="D60" s="346" t="s">
        <v>347</v>
      </c>
      <c r="E60" s="346">
        <v>13.3</v>
      </c>
      <c r="F60" s="346" t="s">
        <v>287</v>
      </c>
      <c r="G60" s="346">
        <v>7</v>
      </c>
      <c r="H60" s="346" t="s">
        <v>293</v>
      </c>
      <c r="I60" s="346">
        <v>1500</v>
      </c>
      <c r="J60" s="346">
        <v>2000</v>
      </c>
      <c r="K60" s="346">
        <v>112</v>
      </c>
      <c r="L60" s="346" t="s">
        <v>318</v>
      </c>
      <c r="M60" s="340"/>
    </row>
    <row r="61" spans="1:13" ht="16.2" thickBot="1">
      <c r="A61" s="341">
        <v>36</v>
      </c>
      <c r="B61" s="465"/>
      <c r="C61" s="347" t="s">
        <v>347</v>
      </c>
      <c r="D61" s="347" t="s">
        <v>321</v>
      </c>
      <c r="E61" s="347">
        <v>41.2</v>
      </c>
      <c r="F61" s="347" t="s">
        <v>286</v>
      </c>
      <c r="G61" s="347">
        <v>3</v>
      </c>
      <c r="H61" s="347" t="s">
        <v>277</v>
      </c>
      <c r="I61" s="347">
        <v>5920</v>
      </c>
      <c r="J61" s="347">
        <v>7940</v>
      </c>
      <c r="K61" s="347">
        <v>144</v>
      </c>
      <c r="L61" s="347">
        <v>192</v>
      </c>
      <c r="M61" s="342"/>
    </row>
    <row r="62" spans="1:13" ht="16.2" thickBot="1">
      <c r="A62" s="467" t="s">
        <v>348</v>
      </c>
      <c r="B62" s="468"/>
      <c r="C62" s="468"/>
      <c r="D62" s="468"/>
      <c r="E62" s="468"/>
      <c r="F62" s="468"/>
      <c r="G62" s="468"/>
      <c r="H62" s="468"/>
      <c r="I62" s="468"/>
      <c r="J62" s="468"/>
      <c r="K62" s="468"/>
      <c r="L62" s="468"/>
      <c r="M62" s="469"/>
    </row>
    <row r="63" spans="1:13" ht="17.399999999999999">
      <c r="A63" s="470" t="s">
        <v>275</v>
      </c>
      <c r="B63" s="471"/>
      <c r="C63" s="471"/>
      <c r="D63" s="471"/>
      <c r="E63" s="471"/>
      <c r="F63" s="471"/>
      <c r="G63" s="471"/>
      <c r="H63" s="471"/>
      <c r="I63" s="471"/>
      <c r="J63" s="471"/>
      <c r="K63" s="471"/>
      <c r="L63" s="471"/>
      <c r="M63" s="471"/>
    </row>
    <row r="64" spans="1:13">
      <c r="A64" s="344"/>
      <c r="B64" s="344"/>
      <c r="C64" s="344"/>
      <c r="D64" s="344"/>
      <c r="E64" s="344"/>
      <c r="F64" s="344"/>
      <c r="G64" s="344"/>
      <c r="H64" s="344"/>
      <c r="I64" s="344"/>
      <c r="J64" s="344"/>
      <c r="K64" s="344"/>
      <c r="L64" s="344"/>
      <c r="M64" s="344"/>
    </row>
    <row r="65" spans="1:13">
      <c r="A65" s="344"/>
      <c r="B65" s="344"/>
      <c r="C65" s="344"/>
      <c r="D65" s="344"/>
      <c r="E65" s="344"/>
      <c r="F65" s="344"/>
      <c r="G65" s="344"/>
      <c r="H65" s="344"/>
      <c r="I65" s="344"/>
      <c r="J65" s="344"/>
      <c r="K65" s="344"/>
      <c r="L65" s="344"/>
      <c r="M65" s="344"/>
    </row>
  </sheetData>
  <mergeCells count="29">
    <mergeCell ref="B55:B56"/>
    <mergeCell ref="B57:B61"/>
    <mergeCell ref="A62:M62"/>
    <mergeCell ref="A63:M63"/>
    <mergeCell ref="B26:B31"/>
    <mergeCell ref="B32:B34"/>
    <mergeCell ref="B35:B41"/>
    <mergeCell ref="B42:B48"/>
    <mergeCell ref="B49:B54"/>
    <mergeCell ref="A16:M16"/>
    <mergeCell ref="A21:M21"/>
    <mergeCell ref="A22:M22"/>
    <mergeCell ref="A23:M23"/>
    <mergeCell ref="A24:A25"/>
    <mergeCell ref="B24:B25"/>
    <mergeCell ref="C24:C25"/>
    <mergeCell ref="M24:M25"/>
    <mergeCell ref="F24:F25"/>
    <mergeCell ref="D24:D25"/>
    <mergeCell ref="K24:L24"/>
    <mergeCell ref="E24:E25"/>
    <mergeCell ref="G24:G25"/>
    <mergeCell ref="H24:H25"/>
    <mergeCell ref="I24:J24"/>
    <mergeCell ref="A4:M4"/>
    <mergeCell ref="A7:M7"/>
    <mergeCell ref="A9:M9"/>
    <mergeCell ref="A13:M13"/>
    <mergeCell ref="A15:M15"/>
  </mergeCells>
  <phoneticPr fontId="9" type="noConversion"/>
  <pageMargins left="0.59055118110236227" right="0.19685039370078741" top="0.39370078740157483" bottom="0.59055118110236227" header="0.31496062992125984" footer="0.31496062992125984"/>
  <pageSetup paperSize="9" orientation="landscape" r:id="rId1"/>
  <headerFooter>
    <oddFooter>第 &amp;P 页，共 &amp;N 页</oddFooter>
  </headerFooter>
  <rowBreaks count="1" manualBreakCount="1">
    <brk id="20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1"/>
  <sheetViews>
    <sheetView topLeftCell="C1" zoomScale="85" zoomScaleNormal="85" workbookViewId="0">
      <selection activeCell="D2" sqref="D2"/>
    </sheetView>
  </sheetViews>
  <sheetFormatPr defaultRowHeight="14.4"/>
  <cols>
    <col min="1" max="1" width="9" customWidth="1"/>
    <col min="2" max="2" width="51" customWidth="1"/>
    <col min="3" max="3" width="46.109375" customWidth="1"/>
    <col min="4" max="4" width="62.88671875" customWidth="1"/>
    <col min="5" max="5" width="13.6640625" bestFit="1" customWidth="1"/>
    <col min="6" max="6" width="20" bestFit="1" customWidth="1"/>
    <col min="7" max="7" width="18.6640625" bestFit="1" customWidth="1"/>
    <col min="8" max="10" width="20" bestFit="1" customWidth="1"/>
  </cols>
  <sheetData>
    <row r="1" spans="1:4" ht="15" thickBot="1"/>
    <row r="2" spans="1:4" ht="115.2">
      <c r="A2">
        <v>1</v>
      </c>
      <c r="B2" s="165" t="s">
        <v>141</v>
      </c>
      <c r="C2" s="73" t="str">
        <f>""&amp; A2&amp;"、"&amp;B2</f>
        <v>1、启输,配泵、流量及下载顺序以湘潭泵站投产方案及投产指挥部指令为准</v>
      </c>
      <c r="D2" s="78" t="s">
        <v>278</v>
      </c>
    </row>
    <row r="3" spans="1:4" ht="43.2">
      <c r="A3">
        <v>2</v>
      </c>
      <c r="B3" s="129" t="s">
        <v>142</v>
      </c>
      <c r="C3" s="74" t="str">
        <f>C2&amp;CHAR(10)&amp;"      "&amp; A3&amp;"、"&amp;B3</f>
        <v>1、启输,配泵、流量及下载顺序以湘潭泵站投产方案及投产指挥部指令为准
      2、娄底下载结束，1大+1大</v>
      </c>
    </row>
    <row r="4" spans="1:4" ht="72">
      <c r="A4">
        <v>3</v>
      </c>
      <c r="B4" s="129" t="s">
        <v>143</v>
      </c>
      <c r="C4" s="74" t="str">
        <f t="shared" ref="C4:C17" si="0">C3&amp;CHAR(10)&amp;"      "&amp; A4&amp;"、"&amp;B4</f>
        <v>1、启输,配泵、流量及下载顺序以湘潭泵站投产方案及投产指挥部指令为准
      2、娄底下载结束，1大+1大
      3、普柴到湘潭前，1大+1大+1大(湘)或1大+2大</v>
      </c>
    </row>
    <row r="5" spans="1:4" ht="86.4">
      <c r="A5">
        <v>4</v>
      </c>
      <c r="B5" s="129" t="s">
        <v>132</v>
      </c>
      <c r="C5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</v>
      </c>
    </row>
    <row r="6" spans="1:4" ht="100.8">
      <c r="A6">
        <v>5</v>
      </c>
      <c r="B6" s="129" t="s">
        <v>133</v>
      </c>
      <c r="C6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</v>
      </c>
    </row>
    <row r="7" spans="1:4" ht="129.6">
      <c r="A7">
        <v>6</v>
      </c>
      <c r="B7" s="129" t="s">
        <v>134</v>
      </c>
      <c r="C7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</v>
      </c>
    </row>
    <row r="8" spans="1:4" ht="158.4">
      <c r="A8">
        <v>7</v>
      </c>
      <c r="B8" s="164" t="s">
        <v>135</v>
      </c>
      <c r="C8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</v>
      </c>
    </row>
    <row r="9" spans="1:4" ht="187.2">
      <c r="A9">
        <v>8</v>
      </c>
      <c r="B9" s="120" t="s">
        <v>136</v>
      </c>
      <c r="C9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</v>
      </c>
    </row>
    <row r="10" spans="1:4" ht="216">
      <c r="A10">
        <v>9</v>
      </c>
      <c r="B10" s="120" t="s">
        <v>137</v>
      </c>
      <c r="C10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</v>
      </c>
    </row>
    <row r="11" spans="1:4" ht="230.4">
      <c r="A11">
        <v>10</v>
      </c>
      <c r="B11" s="120" t="s">
        <v>138</v>
      </c>
      <c r="C11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</v>
      </c>
      <c r="D11" s="74"/>
    </row>
    <row r="12" spans="1:4" ht="244.8">
      <c r="A12">
        <v>11</v>
      </c>
      <c r="B12" s="121" t="s">
        <v>139</v>
      </c>
      <c r="C12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v>
      </c>
    </row>
    <row r="13" spans="1:4" ht="259.2">
      <c r="A13">
        <v>12</v>
      </c>
      <c r="B13" s="120"/>
      <c r="C13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</v>
      </c>
    </row>
    <row r="14" spans="1:4" ht="273.60000000000002">
      <c r="A14">
        <v>13</v>
      </c>
      <c r="B14" s="120" t="s">
        <v>138</v>
      </c>
      <c r="C14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</v>
      </c>
    </row>
    <row r="15" spans="1:4" ht="288">
      <c r="A15">
        <v>14</v>
      </c>
      <c r="B15" s="121" t="s">
        <v>139</v>
      </c>
      <c r="C15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</v>
      </c>
    </row>
    <row r="16" spans="1:4" ht="302.39999999999998">
      <c r="A16">
        <v>15</v>
      </c>
      <c r="B16" s="121" t="s">
        <v>140</v>
      </c>
      <c r="C16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
      15、车柴过耒阳，衡阳切2大</v>
      </c>
    </row>
    <row r="17" spans="1:4" ht="316.8">
      <c r="A17">
        <v>16</v>
      </c>
      <c r="B17" s="143" t="s">
        <v>108</v>
      </c>
      <c r="C17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
      15、车柴过耒阳，衡阳切2大
      16、车柴到耒阳，1大+1大1小+2大</v>
      </c>
      <c r="D17" s="78" t="s">
        <v>86</v>
      </c>
    </row>
    <row r="20" spans="1:4" ht="15" thickBot="1"/>
    <row r="21" spans="1:4" ht="245.4" thickBot="1">
      <c r="A21" s="75" t="s">
        <v>77</v>
      </c>
      <c r="B21" s="124" t="s">
        <v>144</v>
      </c>
      <c r="C21" s="77" t="s">
        <v>145</v>
      </c>
      <c r="D21" s="77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X41"/>
  <sheetViews>
    <sheetView showZeros="0" workbookViewId="0">
      <pane ySplit="1" topLeftCell="A2" activePane="bottomLeft" state="frozen"/>
      <selection activeCell="J13" sqref="J13"/>
      <selection pane="bottomLeft" activeCell="X24" sqref="X24"/>
    </sheetView>
  </sheetViews>
  <sheetFormatPr defaultColWidth="9" defaultRowHeight="14.4"/>
  <cols>
    <col min="1" max="1" width="7.44140625" style="54" bestFit="1" customWidth="1"/>
    <col min="2" max="2" width="7.33203125" style="54" customWidth="1"/>
    <col min="3" max="3" width="7.44140625" style="54" bestFit="1" customWidth="1"/>
    <col min="4" max="4" width="7.44140625" style="95" bestFit="1" customWidth="1"/>
    <col min="5" max="5" width="7.6640625" style="54" customWidth="1"/>
    <col min="6" max="6" width="6.21875" style="54" customWidth="1"/>
    <col min="7" max="7" width="8.44140625" style="312" customWidth="1"/>
    <col min="8" max="8" width="7.44140625" style="54" bestFit="1" customWidth="1"/>
    <col min="9" max="9" width="7.44140625" style="54" customWidth="1"/>
    <col min="10" max="10" width="7.44140625" style="54" bestFit="1" customWidth="1"/>
    <col min="11" max="11" width="7.21875" style="54" customWidth="1"/>
    <col min="12" max="12" width="7.33203125" style="54" customWidth="1"/>
    <col min="13" max="13" width="7.77734375" style="54" bestFit="1" customWidth="1"/>
    <col min="14" max="14" width="7.109375" style="54" customWidth="1"/>
    <col min="15" max="15" width="6.77734375" style="54" customWidth="1"/>
    <col min="16" max="16" width="7.77734375" style="54" bestFit="1" customWidth="1"/>
    <col min="17" max="17" width="7.109375" style="54" customWidth="1"/>
    <col min="18" max="18" width="6.109375" style="54" customWidth="1"/>
    <col min="19" max="19" width="5.44140625" style="54" bestFit="1" customWidth="1"/>
    <col min="20" max="20" width="6.109375" style="54" customWidth="1"/>
    <col min="21" max="21" width="5.21875" style="54" customWidth="1"/>
    <col min="22" max="22" width="6.77734375" style="54" customWidth="1"/>
    <col min="23" max="23" width="39.109375" style="130" customWidth="1"/>
    <col min="24" max="24" width="13" style="54" bestFit="1" customWidth="1"/>
    <col min="25" max="16384" width="9" style="53"/>
  </cols>
  <sheetData>
    <row r="1" spans="1:23">
      <c r="B1" s="134"/>
      <c r="C1" s="134"/>
      <c r="D1" s="135"/>
      <c r="E1" s="134"/>
      <c r="F1" s="134"/>
      <c r="G1" s="311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7"/>
    </row>
    <row r="2" spans="1:23">
      <c r="B2" s="134"/>
      <c r="C2" s="134"/>
      <c r="D2" s="135"/>
      <c r="E2" s="134"/>
      <c r="F2" s="134"/>
      <c r="G2" s="311"/>
      <c r="H2" s="134"/>
      <c r="I2" s="134"/>
      <c r="J2" s="134"/>
      <c r="K2" s="134"/>
      <c r="L2" s="134" t="s">
        <v>240</v>
      </c>
      <c r="M2" s="134" t="s">
        <v>241</v>
      </c>
      <c r="N2" s="134"/>
      <c r="O2" s="134" t="s">
        <v>245</v>
      </c>
      <c r="P2" s="134" t="s">
        <v>246</v>
      </c>
      <c r="Q2" s="134"/>
      <c r="R2" s="134"/>
      <c r="S2" s="134"/>
      <c r="T2" s="134"/>
      <c r="U2" s="134"/>
      <c r="V2" s="134"/>
      <c r="W2" s="137"/>
    </row>
    <row r="3" spans="1:23">
      <c r="B3" s="134"/>
      <c r="C3" s="134"/>
      <c r="D3" s="135"/>
      <c r="E3" s="134"/>
      <c r="F3" s="134"/>
      <c r="G3" s="311"/>
      <c r="H3" s="134"/>
      <c r="I3" s="134"/>
      <c r="J3" s="134"/>
      <c r="K3" s="134" t="s">
        <v>242</v>
      </c>
      <c r="L3" s="134">
        <f>批次!C19</f>
        <v>17449.664429530203</v>
      </c>
      <c r="M3" s="134">
        <f>SUM(批次!C20:C24)</f>
        <v>40268.456375838927</v>
      </c>
      <c r="N3" s="134"/>
      <c r="O3" s="134">
        <f>批次!C20</f>
        <v>19463.087248322146</v>
      </c>
      <c r="P3" s="134">
        <f>SUM(批次!C22:C24)</f>
        <v>20805.36912751678</v>
      </c>
      <c r="Q3" s="134"/>
      <c r="R3" s="134"/>
      <c r="S3" s="134"/>
      <c r="T3" s="134"/>
      <c r="U3" s="134"/>
      <c r="V3" s="134"/>
      <c r="W3" s="137"/>
    </row>
    <row r="4" spans="1:23">
      <c r="B4" s="134"/>
      <c r="C4" s="134"/>
      <c r="D4" s="134"/>
      <c r="E4" s="134"/>
      <c r="F4" s="134"/>
      <c r="G4" s="311"/>
      <c r="H4" s="134"/>
      <c r="I4" s="134"/>
      <c r="J4" s="134"/>
      <c r="K4" s="134" t="s">
        <v>243</v>
      </c>
      <c r="L4" s="134">
        <v>9275</v>
      </c>
      <c r="M4" s="134">
        <v>12516</v>
      </c>
      <c r="N4" s="134"/>
      <c r="O4" s="134">
        <v>7595</v>
      </c>
      <c r="P4" s="134">
        <v>5058</v>
      </c>
      <c r="Q4" s="134"/>
      <c r="R4" s="134"/>
      <c r="S4" s="134"/>
      <c r="T4" s="134"/>
      <c r="U4" s="134"/>
      <c r="V4" s="134"/>
      <c r="W4" s="137"/>
    </row>
    <row r="5" spans="1:23">
      <c r="B5" s="134" t="s">
        <v>235</v>
      </c>
      <c r="C5" s="136"/>
      <c r="D5" s="134"/>
      <c r="E5" s="134"/>
      <c r="F5" s="134"/>
      <c r="G5" s="311"/>
      <c r="H5" s="134"/>
      <c r="I5" s="134"/>
      <c r="J5" s="134"/>
      <c r="K5" s="134" t="s">
        <v>244</v>
      </c>
      <c r="L5" s="134">
        <f>L3-L4</f>
        <v>8174.6644295302031</v>
      </c>
      <c r="M5" s="134">
        <f>M3-M4</f>
        <v>27752.456375838927</v>
      </c>
      <c r="N5" s="134"/>
      <c r="O5" s="134">
        <f>O3-O4</f>
        <v>11868.087248322146</v>
      </c>
      <c r="P5" s="134">
        <f>P3-P4</f>
        <v>15747.36912751678</v>
      </c>
      <c r="Q5" s="134"/>
      <c r="R5" s="134"/>
      <c r="S5" s="134"/>
      <c r="T5" s="134"/>
      <c r="U5" s="134"/>
      <c r="V5" s="134"/>
      <c r="W5" s="137"/>
    </row>
    <row r="6" spans="1:23">
      <c r="B6" s="134">
        <v>7</v>
      </c>
      <c r="C6" s="136"/>
      <c r="D6" s="134">
        <v>2</v>
      </c>
      <c r="E6" s="134">
        <v>2</v>
      </c>
      <c r="F6" s="134">
        <v>3</v>
      </c>
      <c r="G6" s="311" t="s">
        <v>234</v>
      </c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7"/>
    </row>
    <row r="7" spans="1:23">
      <c r="B7" s="134">
        <v>770</v>
      </c>
      <c r="C7" s="136">
        <v>0</v>
      </c>
      <c r="D7" s="134">
        <v>220</v>
      </c>
      <c r="E7" s="134">
        <v>220</v>
      </c>
      <c r="F7" s="134">
        <v>330</v>
      </c>
      <c r="G7" s="311"/>
      <c r="H7" s="134"/>
      <c r="I7" s="134"/>
      <c r="J7" s="134"/>
      <c r="K7" s="472"/>
      <c r="L7" s="472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7"/>
    </row>
    <row r="8" spans="1:23">
      <c r="B8" s="134" t="s">
        <v>149</v>
      </c>
      <c r="C8" s="134" t="s">
        <v>150</v>
      </c>
      <c r="D8" s="134" t="s">
        <v>33</v>
      </c>
      <c r="E8" s="134" t="s">
        <v>151</v>
      </c>
      <c r="F8" s="134" t="s">
        <v>152</v>
      </c>
      <c r="G8" s="311"/>
      <c r="H8" s="134"/>
      <c r="I8" s="134"/>
      <c r="J8" s="134"/>
      <c r="K8" s="472"/>
      <c r="L8" s="472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7"/>
    </row>
    <row r="9" spans="1:23">
      <c r="B9" s="134">
        <v>4000</v>
      </c>
      <c r="C9" s="136"/>
      <c r="D9" s="134">
        <f>$B$9/$B$6*D6</f>
        <v>1142.8571428571429</v>
      </c>
      <c r="E9" s="134">
        <f>$B$9/$B$6*E6</f>
        <v>1142.8571428571429</v>
      </c>
      <c r="F9" s="134">
        <f>$B$9/$B$6*F6</f>
        <v>1714.2857142857142</v>
      </c>
      <c r="G9" s="311"/>
      <c r="H9" s="134"/>
      <c r="I9" s="134"/>
      <c r="J9" s="134"/>
      <c r="K9" s="134"/>
      <c r="L9" s="134"/>
      <c r="M9" s="134"/>
      <c r="N9" s="134"/>
      <c r="O9" s="134"/>
      <c r="P9" s="138"/>
      <c r="Q9" s="138"/>
      <c r="R9" s="138"/>
      <c r="S9" s="134"/>
      <c r="T9" s="134"/>
      <c r="U9" s="134"/>
      <c r="V9" s="134"/>
      <c r="W9" s="134"/>
    </row>
    <row r="10" spans="1:23">
      <c r="H10" s="134">
        <v>0</v>
      </c>
      <c r="I10" s="134"/>
      <c r="J10" s="134"/>
      <c r="K10" s="134"/>
      <c r="L10" s="134"/>
      <c r="M10" s="134"/>
      <c r="N10" s="134"/>
      <c r="O10" s="134"/>
      <c r="P10" s="134"/>
      <c r="Q10" s="134"/>
      <c r="R10" s="138"/>
      <c r="S10" s="138"/>
      <c r="T10" s="138"/>
      <c r="U10" s="134"/>
      <c r="V10" s="134"/>
      <c r="W10" s="134"/>
    </row>
    <row r="11" spans="1:23">
      <c r="C11" s="54" t="s">
        <v>232</v>
      </c>
      <c r="D11" s="95">
        <f>$F11/$F$12*D$12</f>
        <v>240</v>
      </c>
      <c r="E11" s="95">
        <f>$F11/$F$12*E$12</f>
        <v>120</v>
      </c>
      <c r="F11" s="54">
        <v>240</v>
      </c>
      <c r="G11" s="313">
        <f>$F11/$F$12*G$12</f>
        <v>280</v>
      </c>
      <c r="H11" s="134"/>
      <c r="I11" s="134"/>
      <c r="J11" s="134"/>
      <c r="S11" s="134"/>
      <c r="T11" s="134"/>
      <c r="U11" s="134"/>
      <c r="V11" s="134"/>
      <c r="W11" s="134"/>
    </row>
    <row r="12" spans="1:23">
      <c r="C12" s="134" t="s">
        <v>231</v>
      </c>
      <c r="D12" s="134">
        <v>6</v>
      </c>
      <c r="E12" s="134">
        <v>3</v>
      </c>
      <c r="F12" s="134">
        <v>6</v>
      </c>
      <c r="G12" s="311">
        <v>7</v>
      </c>
      <c r="H12" s="134"/>
      <c r="I12" s="134"/>
      <c r="J12" s="134"/>
      <c r="S12" s="134"/>
      <c r="T12" s="134"/>
      <c r="U12" s="134"/>
      <c r="V12" s="134"/>
      <c r="W12" s="137"/>
    </row>
    <row r="13" spans="1:23">
      <c r="B13" s="134"/>
      <c r="C13" s="54" t="s">
        <v>233</v>
      </c>
      <c r="D13" s="95">
        <f>$F13/$F$12*D$12</f>
        <v>4500</v>
      </c>
      <c r="E13" s="95">
        <f>$F13/$F$12*E$12</f>
        <v>2250</v>
      </c>
      <c r="F13" s="264">
        <v>4500</v>
      </c>
      <c r="G13" s="313">
        <f>$F13/$F$12*G$12</f>
        <v>5250</v>
      </c>
      <c r="H13" s="134"/>
      <c r="I13" s="134"/>
      <c r="J13" s="134"/>
      <c r="S13" s="134"/>
      <c r="T13" s="134"/>
      <c r="U13" s="134"/>
      <c r="V13" s="134"/>
      <c r="W13" s="137"/>
    </row>
    <row r="14" spans="1:23">
      <c r="B14" s="137"/>
      <c r="C14" s="134" t="s">
        <v>149</v>
      </c>
      <c r="D14" s="134" t="s">
        <v>150</v>
      </c>
      <c r="E14" s="134" t="s">
        <v>153</v>
      </c>
      <c r="F14" s="134" t="s">
        <v>151</v>
      </c>
      <c r="G14" s="311" t="s">
        <v>152</v>
      </c>
      <c r="H14" s="134" t="s">
        <v>239</v>
      </c>
      <c r="I14" s="134" t="s">
        <v>149</v>
      </c>
      <c r="J14" s="134" t="s">
        <v>150</v>
      </c>
      <c r="K14" s="134" t="s">
        <v>33</v>
      </c>
      <c r="L14" s="134" t="s">
        <v>151</v>
      </c>
      <c r="M14" s="134" t="s">
        <v>152</v>
      </c>
      <c r="S14" s="134"/>
      <c r="T14" s="134"/>
      <c r="U14" s="134"/>
      <c r="V14" s="134"/>
      <c r="W14" s="137"/>
    </row>
    <row r="15" spans="1:23">
      <c r="B15" s="134"/>
      <c r="C15" s="134">
        <f>SUM(D15:G15)</f>
        <v>43000</v>
      </c>
      <c r="D15" s="134">
        <f>批次!C8</f>
        <v>13000</v>
      </c>
      <c r="E15" s="134">
        <f>批次!C9</f>
        <v>14500</v>
      </c>
      <c r="F15" s="134">
        <f>批次!C10</f>
        <v>0</v>
      </c>
      <c r="G15" s="311">
        <f>批次!C11+批次!C12+批次!C13</f>
        <v>15500</v>
      </c>
      <c r="H15" s="134"/>
      <c r="I15" s="134">
        <f>C15/0.735</f>
        <v>58503.401360544216</v>
      </c>
      <c r="J15" s="134">
        <f>D15/0.735</f>
        <v>17687.074829931975</v>
      </c>
      <c r="K15" s="134">
        <f>E15/0.735</f>
        <v>19727.891156462585</v>
      </c>
      <c r="L15" s="134">
        <f>F15/0.735</f>
        <v>0</v>
      </c>
      <c r="M15" s="134">
        <f>G15/0.735</f>
        <v>21088.43537414966</v>
      </c>
      <c r="S15" s="134"/>
      <c r="T15" s="134"/>
      <c r="U15" s="134"/>
      <c r="V15" s="134"/>
      <c r="W15" s="137"/>
    </row>
    <row r="16" spans="1:23">
      <c r="A16" s="54" t="s">
        <v>237</v>
      </c>
      <c r="B16" s="134"/>
      <c r="C16" s="134">
        <f>SUM(D16:G16)</f>
        <v>3999.9999999999968</v>
      </c>
      <c r="D16" s="134"/>
      <c r="E16" s="134">
        <v>1142.8571428571429</v>
      </c>
      <c r="F16" s="134">
        <v>1142.8571428571399</v>
      </c>
      <c r="G16" s="311">
        <v>1714.2857142857142</v>
      </c>
      <c r="H16" s="134"/>
      <c r="I16" s="134"/>
      <c r="J16" s="134">
        <f t="shared" ref="J16:M18" si="0">D16/0.735</f>
        <v>0</v>
      </c>
      <c r="K16" s="134">
        <f t="shared" si="0"/>
        <v>1554.9076773566571</v>
      </c>
      <c r="L16" s="134">
        <f t="shared" si="0"/>
        <v>1554.907677356653</v>
      </c>
      <c r="M16" s="134">
        <f t="shared" si="0"/>
        <v>2332.3615160349855</v>
      </c>
      <c r="N16" s="134"/>
      <c r="O16" s="134"/>
      <c r="P16" s="134"/>
      <c r="Q16" s="134"/>
      <c r="R16" s="134"/>
      <c r="S16" s="134"/>
      <c r="T16" s="134"/>
      <c r="U16" s="134"/>
      <c r="V16" s="134"/>
      <c r="W16" s="137"/>
    </row>
    <row r="17" spans="1:23">
      <c r="A17" s="54" t="s">
        <v>236</v>
      </c>
      <c r="B17" s="134"/>
      <c r="C17" s="134">
        <f>SUM(D17:G17)</f>
        <v>13452.38095238096</v>
      </c>
      <c r="D17" s="95">
        <f>$F13/$F$12*D$12</f>
        <v>4500</v>
      </c>
      <c r="E17" s="95">
        <f>$F17/$F$12*E$12</f>
        <v>1678.5714285714298</v>
      </c>
      <c r="F17" s="134">
        <f>F13-F16</f>
        <v>3357.1428571428601</v>
      </c>
      <c r="G17" s="316">
        <f>$F17/$F$12*G$12</f>
        <v>3916.6666666666697</v>
      </c>
      <c r="H17" s="134"/>
      <c r="I17" s="134"/>
      <c r="J17" s="134">
        <f t="shared" si="0"/>
        <v>6122.4489795918371</v>
      </c>
      <c r="K17" s="134">
        <f t="shared" si="0"/>
        <v>2283.7706511175916</v>
      </c>
      <c r="L17" s="134">
        <f t="shared" si="0"/>
        <v>4567.541302235184</v>
      </c>
      <c r="M17" s="134">
        <f t="shared" si="0"/>
        <v>5328.7981859410474</v>
      </c>
      <c r="N17" s="134"/>
      <c r="O17" s="134"/>
      <c r="P17" s="134"/>
      <c r="Q17" s="134"/>
      <c r="R17" s="134"/>
      <c r="S17" s="134"/>
      <c r="T17" s="134"/>
      <c r="U17" s="134"/>
      <c r="V17" s="134"/>
      <c r="W17" s="137"/>
    </row>
    <row r="18" spans="1:23">
      <c r="A18" s="54" t="s">
        <v>238</v>
      </c>
      <c r="B18" s="139"/>
      <c r="C18" s="134">
        <f>SUM(D18:G18)</f>
        <v>25547.619047619046</v>
      </c>
      <c r="D18" s="134">
        <f>D15-D16-D17</f>
        <v>8500</v>
      </c>
      <c r="E18" s="134">
        <f>E15-E16-E17</f>
        <v>11678.571428571428</v>
      </c>
      <c r="F18" s="134">
        <f>F15-F16-F17</f>
        <v>-4500</v>
      </c>
      <c r="G18" s="317">
        <f>G15-G16-G17</f>
        <v>9869.0476190476165</v>
      </c>
      <c r="H18" s="134">
        <f>批次!C6+批次!C7</f>
        <v>1000</v>
      </c>
      <c r="I18" s="134"/>
      <c r="J18" s="134">
        <f t="shared" si="0"/>
        <v>11564.625850340137</v>
      </c>
      <c r="K18" s="134">
        <f t="shared" si="0"/>
        <v>15889.212827988336</v>
      </c>
      <c r="L18" s="134">
        <f t="shared" si="0"/>
        <v>-6122.4489795918371</v>
      </c>
      <c r="M18" s="134">
        <f t="shared" si="0"/>
        <v>13427.275672173628</v>
      </c>
      <c r="N18" s="134">
        <f>H18/0.735</f>
        <v>1360.5442176870749</v>
      </c>
      <c r="O18" s="134"/>
      <c r="P18" s="134"/>
      <c r="Q18" s="134"/>
      <c r="R18" s="134"/>
      <c r="S18" s="134"/>
      <c r="T18" s="134"/>
      <c r="U18" s="134"/>
      <c r="V18" s="134"/>
      <c r="W18" s="137"/>
    </row>
    <row r="19" spans="1:23">
      <c r="B19" s="134"/>
      <c r="C19" s="137"/>
      <c r="D19" s="134"/>
      <c r="E19" s="134"/>
      <c r="F19" s="134" t="s">
        <v>265</v>
      </c>
      <c r="G19" s="317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7"/>
    </row>
    <row r="20" spans="1:23">
      <c r="B20" s="137"/>
      <c r="C20" s="134" t="s">
        <v>149</v>
      </c>
      <c r="D20" s="134" t="s">
        <v>150</v>
      </c>
      <c r="E20" s="134" t="s">
        <v>33</v>
      </c>
      <c r="F20" s="134" t="s">
        <v>151</v>
      </c>
      <c r="G20" s="317" t="s">
        <v>152</v>
      </c>
    </row>
    <row r="21" spans="1:23">
      <c r="B21" s="134"/>
      <c r="C21" s="134">
        <f t="shared" ref="C21:G24" si="1">C15/0.735</f>
        <v>58503.401360544216</v>
      </c>
      <c r="D21" s="134">
        <f t="shared" si="1"/>
        <v>17687.074829931975</v>
      </c>
      <c r="E21" s="134">
        <f t="shared" si="1"/>
        <v>19727.891156462585</v>
      </c>
      <c r="F21" s="134">
        <f t="shared" si="1"/>
        <v>0</v>
      </c>
      <c r="G21" s="317">
        <f t="shared" si="1"/>
        <v>21088.43537414966</v>
      </c>
    </row>
    <row r="22" spans="1:23">
      <c r="A22" s="54" t="s">
        <v>237</v>
      </c>
      <c r="B22" s="134"/>
      <c r="C22" s="134">
        <f t="shared" si="1"/>
        <v>5442.1768707482952</v>
      </c>
      <c r="D22" s="134">
        <f t="shared" si="1"/>
        <v>0</v>
      </c>
      <c r="E22" s="134">
        <f t="shared" si="1"/>
        <v>1554.9076773566571</v>
      </c>
      <c r="F22" s="134">
        <f t="shared" si="1"/>
        <v>1554.907677356653</v>
      </c>
      <c r="G22" s="317">
        <f t="shared" si="1"/>
        <v>2332.3615160349855</v>
      </c>
    </row>
    <row r="23" spans="1:23">
      <c r="A23" s="54" t="s">
        <v>236</v>
      </c>
      <c r="B23" s="134"/>
      <c r="C23" s="134">
        <f t="shared" si="1"/>
        <v>18302.55911888566</v>
      </c>
      <c r="D23" s="134">
        <f t="shared" si="1"/>
        <v>6122.4489795918371</v>
      </c>
      <c r="E23" s="134">
        <f t="shared" si="1"/>
        <v>2283.7706511175916</v>
      </c>
      <c r="F23" s="134">
        <f t="shared" si="1"/>
        <v>4567.541302235184</v>
      </c>
      <c r="G23" s="317">
        <f t="shared" si="1"/>
        <v>5328.7981859410474</v>
      </c>
    </row>
    <row r="24" spans="1:23">
      <c r="A24" s="54" t="s">
        <v>238</v>
      </c>
      <c r="B24" s="267"/>
      <c r="C24" s="134">
        <f t="shared" si="1"/>
        <v>34758.665370910268</v>
      </c>
      <c r="D24" s="134">
        <f t="shared" si="1"/>
        <v>11564.625850340137</v>
      </c>
      <c r="E24" s="134">
        <f t="shared" si="1"/>
        <v>15889.212827988336</v>
      </c>
      <c r="F24" s="134">
        <f t="shared" si="1"/>
        <v>-6122.4489795918371</v>
      </c>
      <c r="G24" s="317">
        <f t="shared" si="1"/>
        <v>13427.275672173628</v>
      </c>
    </row>
    <row r="28" spans="1:23">
      <c r="A28" s="54">
        <v>92</v>
      </c>
      <c r="D28" s="95" t="s">
        <v>267</v>
      </c>
      <c r="E28" s="134" t="s">
        <v>150</v>
      </c>
      <c r="G28" s="311" t="s">
        <v>33</v>
      </c>
      <c r="H28" s="134" t="s">
        <v>151</v>
      </c>
      <c r="I28" s="134" t="s">
        <v>152</v>
      </c>
    </row>
    <row r="29" spans="1:23">
      <c r="A29" s="54" t="s">
        <v>264</v>
      </c>
      <c r="B29" s="54" t="s">
        <v>259</v>
      </c>
      <c r="D29" s="286">
        <f>批次!C16-批次!C17-批次!C18</f>
        <v>57718.120805369123</v>
      </c>
      <c r="E29" s="54">
        <f>批次!C19</f>
        <v>17449.664429530203</v>
      </c>
      <c r="G29" s="312">
        <f>批次!C20</f>
        <v>19463.087248322146</v>
      </c>
      <c r="H29" s="54">
        <f>批次!C21</f>
        <v>0</v>
      </c>
      <c r="I29" s="54">
        <f>SUM(批次!C22:C24)</f>
        <v>20805.36912751678</v>
      </c>
    </row>
    <row r="30" spans="1:23">
      <c r="A30" s="54">
        <v>30000</v>
      </c>
      <c r="B30" s="54" t="s">
        <v>256</v>
      </c>
      <c r="D30" s="134">
        <v>31199.064350572444</v>
      </c>
    </row>
    <row r="31" spans="1:23">
      <c r="A31" s="54">
        <v>10000</v>
      </c>
      <c r="B31" s="54" t="s">
        <v>258</v>
      </c>
      <c r="D31" s="286">
        <f>D29-D30</f>
        <v>26519.056454796679</v>
      </c>
    </row>
    <row r="32" spans="1:23">
      <c r="A32" s="54" t="s">
        <v>266</v>
      </c>
      <c r="B32" s="53"/>
      <c r="D32" s="95" t="s">
        <v>254</v>
      </c>
      <c r="E32" s="134" t="s">
        <v>150</v>
      </c>
      <c r="G32" s="311" t="s">
        <v>33</v>
      </c>
      <c r="H32" s="134" t="s">
        <v>151</v>
      </c>
      <c r="I32" s="134" t="s">
        <v>152</v>
      </c>
      <c r="J32" s="54" t="s">
        <v>255</v>
      </c>
      <c r="K32" s="134" t="s">
        <v>150</v>
      </c>
      <c r="M32" s="134" t="s">
        <v>33</v>
      </c>
      <c r="N32" s="134" t="s">
        <v>151</v>
      </c>
      <c r="O32" s="134" t="s">
        <v>152</v>
      </c>
    </row>
    <row r="33" spans="1:15" ht="15" thickBot="1">
      <c r="B33" s="54" t="s">
        <v>253</v>
      </c>
      <c r="E33" s="134">
        <v>160</v>
      </c>
      <c r="F33" s="134">
        <v>0</v>
      </c>
      <c r="G33" s="311">
        <v>152</v>
      </c>
      <c r="H33" s="134">
        <v>0</v>
      </c>
      <c r="I33" s="134">
        <v>328</v>
      </c>
      <c r="J33" s="288">
        <f>SUM(K33:O33)</f>
        <v>7266.6666666666661</v>
      </c>
      <c r="K33" s="288">
        <f>5450/SUM($F$33:$I$33)*E33</f>
        <v>1816.6666666666665</v>
      </c>
      <c r="L33" s="54">
        <f>5450/SUM($F$33:$I$33)*F33</f>
        <v>0</v>
      </c>
      <c r="M33" s="264">
        <f>5450/SUM($F$33:$I$33)*G33</f>
        <v>1725.8333333333333</v>
      </c>
      <c r="N33" s="264">
        <f>5450/SUM($F$33:$I$33)*H33</f>
        <v>0</v>
      </c>
      <c r="O33" s="264">
        <f>5450/SUM($F$33:$I$33)*I33</f>
        <v>3724.1666666666665</v>
      </c>
    </row>
    <row r="34" spans="1:15">
      <c r="B34" s="54" t="s">
        <v>274</v>
      </c>
      <c r="E34" s="286">
        <v>5</v>
      </c>
      <c r="F34" s="286"/>
      <c r="G34" s="314">
        <v>4</v>
      </c>
      <c r="H34" s="293">
        <f>10-E34</f>
        <v>5</v>
      </c>
      <c r="I34" s="294">
        <v>7</v>
      </c>
      <c r="J34" s="288">
        <f>D30-J33</f>
        <v>23932.39768390578</v>
      </c>
      <c r="K34" s="288">
        <f>$J$34/SUM($E$34:$I$34)*E34</f>
        <v>5698.1899247394713</v>
      </c>
      <c r="L34" s="288">
        <f>$J$34/SUM($E$34:$I$34)*F34</f>
        <v>0</v>
      </c>
      <c r="M34" s="288">
        <f>$J$34/SUM($E$34:$I$34)*G34</f>
        <v>4558.5519397915768</v>
      </c>
      <c r="N34" s="288">
        <f>$J$34/SUM($E$34:$I$34)*H34</f>
        <v>5698.1899247394713</v>
      </c>
      <c r="O34" s="288">
        <f>$J$34/SUM($E$34:$I$34)*I34</f>
        <v>7977.4658946352592</v>
      </c>
    </row>
    <row r="35" spans="1:15" ht="15" thickBot="1">
      <c r="B35" s="54" t="s">
        <v>257</v>
      </c>
      <c r="E35" s="134"/>
      <c r="F35" s="134"/>
      <c r="G35" s="315">
        <v>2</v>
      </c>
      <c r="H35" s="295">
        <v>2</v>
      </c>
      <c r="I35" s="296">
        <v>3</v>
      </c>
      <c r="M35" s="288">
        <f>5450/SUM($F$35:$I$35)*G35</f>
        <v>1557.1428571428571</v>
      </c>
      <c r="N35" s="288">
        <f>5450/SUM($F$35:$I$35)*H35</f>
        <v>1557.1428571428571</v>
      </c>
      <c r="O35" s="288">
        <f>5450/SUM($F$35:$I$35)*I35</f>
        <v>2335.7142857142858</v>
      </c>
    </row>
    <row r="36" spans="1:15">
      <c r="B36" s="54" t="s">
        <v>262</v>
      </c>
      <c r="K36" s="287">
        <f>E29-SUM(K33:K35)</f>
        <v>9934.8078381240648</v>
      </c>
      <c r="L36" s="287">
        <f>F29-SUM(L33:L35)</f>
        <v>0</v>
      </c>
      <c r="M36" s="287">
        <f>G29-SUM(M34:M35)</f>
        <v>13347.392451387714</v>
      </c>
      <c r="N36" s="287">
        <f>H29-SUM(N34:N35)</f>
        <v>-7255.3327818823282</v>
      </c>
      <c r="O36" s="287">
        <f>I29-SUM(O34:O35)</f>
        <v>10492.188947167235</v>
      </c>
    </row>
    <row r="37" spans="1:15">
      <c r="B37" s="54" t="s">
        <v>260</v>
      </c>
      <c r="G37" s="312">
        <v>1.5</v>
      </c>
      <c r="H37" s="54">
        <v>2</v>
      </c>
      <c r="I37" s="54">
        <v>2</v>
      </c>
      <c r="M37" s="54">
        <f>N37*G37/H37</f>
        <v>-5441.4995864117463</v>
      </c>
      <c r="N37" s="54">
        <f>N36</f>
        <v>-7255.3327818823282</v>
      </c>
      <c r="O37" s="54">
        <f>N37*I37/H37</f>
        <v>-7255.3327818823282</v>
      </c>
    </row>
    <row r="38" spans="1:15">
      <c r="B38" s="54" t="s">
        <v>261</v>
      </c>
      <c r="M38" s="54">
        <f>M36-M37</f>
        <v>18788.892037799458</v>
      </c>
      <c r="N38" s="54">
        <f>N36-N37</f>
        <v>0</v>
      </c>
      <c r="O38" s="54">
        <f>O36-O37</f>
        <v>17747.521729049564</v>
      </c>
    </row>
    <row r="39" spans="1:15">
      <c r="O39" s="54">
        <f>O38-N37</f>
        <v>25002.854510931891</v>
      </c>
    </row>
    <row r="40" spans="1:15" ht="15" thickBot="1">
      <c r="A40" s="54">
        <v>95</v>
      </c>
    </row>
    <row r="41" spans="1:15">
      <c r="E41" s="286">
        <v>5</v>
      </c>
      <c r="F41" s="286"/>
      <c r="G41" s="314">
        <v>4</v>
      </c>
      <c r="H41" s="293">
        <f>10-E41</f>
        <v>5</v>
      </c>
      <c r="I41" s="294">
        <v>7</v>
      </c>
    </row>
  </sheetData>
  <mergeCells count="2">
    <mergeCell ref="K7:L7"/>
    <mergeCell ref="K8:L8"/>
  </mergeCells>
  <phoneticPr fontId="9" type="noConversion"/>
  <printOptions horizontalCentered="1"/>
  <pageMargins left="0.25" right="0.25" top="0.75" bottom="0.75" header="0.3" footer="0.3"/>
  <pageSetup paperSize="9" scale="67" orientation="landscape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22</xdr:col>
                <xdr:colOff>1455420</xdr:colOff>
                <xdr:row>0</xdr:row>
                <xdr:rowOff>0</xdr:rowOff>
              </from>
              <to>
                <xdr:col>22</xdr:col>
                <xdr:colOff>2240280</xdr:colOff>
                <xdr:row>1</xdr:row>
                <xdr:rowOff>175260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Image1">
          <controlPr defaultSize="0" autoLine="0" r:id="rId7">
            <anchor moveWithCells="1">
              <from>
                <xdr:col>4</xdr:col>
                <xdr:colOff>297180</xdr:colOff>
                <xdr:row>0</xdr:row>
                <xdr:rowOff>0</xdr:rowOff>
              </from>
              <to>
                <xdr:col>22</xdr:col>
                <xdr:colOff>76200</xdr:colOff>
                <xdr:row>2</xdr:row>
                <xdr:rowOff>91440</xdr:rowOff>
              </to>
            </anchor>
          </controlPr>
        </control>
      </mc:Choice>
      <mc:Fallback>
        <control shapeId="10242" r:id="rId6" name="Image1"/>
      </mc:Fallback>
    </mc:AlternateContent>
    <mc:AlternateContent xmlns:mc="http://schemas.openxmlformats.org/markup-compatibility/2006">
      <mc:Choice Requires="x14">
        <control shapeId="10243" r:id="rId8" name="CommandButton2">
          <controlPr defaultSize="0" autoLine="0" autoPict="0" r:id="rId9">
            <anchor moveWithCells="1">
              <from>
                <xdr:col>1</xdr:col>
                <xdr:colOff>76200</xdr:colOff>
                <xdr:row>0</xdr:row>
                <xdr:rowOff>0</xdr:rowOff>
              </from>
              <to>
                <xdr:col>2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0243" r:id="rId8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H22"/>
  <sheetViews>
    <sheetView zoomScale="55" zoomScaleNormal="55" workbookViewId="0">
      <selection activeCell="I15" sqref="I15"/>
    </sheetView>
  </sheetViews>
  <sheetFormatPr defaultColWidth="9" defaultRowHeight="14.4"/>
  <cols>
    <col min="1" max="3" width="21.88671875" style="111" customWidth="1"/>
    <col min="4" max="7" width="21.88671875" style="99" customWidth="1"/>
    <col min="8" max="8" width="11.21875" style="99" customWidth="1"/>
    <col min="9" max="16384" width="9" style="99"/>
  </cols>
  <sheetData>
    <row r="2" spans="1:8" ht="70.5" customHeight="1">
      <c r="A2" s="475" t="s">
        <v>88</v>
      </c>
      <c r="B2" s="475"/>
      <c r="C2" s="475"/>
      <c r="D2" s="475"/>
      <c r="E2" s="475"/>
      <c r="F2" s="475"/>
      <c r="G2" s="475"/>
      <c r="H2" s="98"/>
    </row>
    <row r="3" spans="1:8" ht="36.75" customHeight="1">
      <c r="A3" s="100" t="s">
        <v>89</v>
      </c>
      <c r="B3" s="101"/>
      <c r="C3" s="101"/>
      <c r="D3" s="102"/>
      <c r="E3" s="102"/>
      <c r="F3" s="103" t="s">
        <v>90</v>
      </c>
      <c r="G3" s="333" t="s">
        <v>354</v>
      </c>
      <c r="H3" s="105"/>
    </row>
    <row r="4" spans="1:8" ht="38.25" customHeight="1">
      <c r="A4" s="476" t="s">
        <v>91</v>
      </c>
      <c r="B4" s="476"/>
      <c r="C4" s="476"/>
      <c r="D4" s="476"/>
      <c r="E4" s="476"/>
      <c r="F4" s="476"/>
      <c r="G4" s="476"/>
      <c r="H4" s="106"/>
    </row>
    <row r="5" spans="1:8" ht="26.25" customHeight="1">
      <c r="A5" s="477"/>
      <c r="B5" s="477"/>
      <c r="C5" s="477"/>
      <c r="D5" s="477"/>
      <c r="E5" s="477"/>
      <c r="F5" s="478"/>
      <c r="G5" s="478"/>
      <c r="H5" s="107"/>
    </row>
    <row r="6" spans="1:8" s="108" customFormat="1" ht="31.5" customHeight="1" thickBot="1">
      <c r="A6" s="473" t="s">
        <v>92</v>
      </c>
      <c r="B6" s="473"/>
      <c r="C6" s="473"/>
      <c r="F6" s="474" t="s">
        <v>290</v>
      </c>
      <c r="G6" s="474"/>
    </row>
    <row r="7" spans="1:8" s="111" customFormat="1" ht="46.5" customHeight="1">
      <c r="A7" s="479" t="s">
        <v>93</v>
      </c>
      <c r="B7" s="480"/>
      <c r="C7" s="109" t="s">
        <v>78</v>
      </c>
      <c r="D7" s="319" t="s">
        <v>269</v>
      </c>
      <c r="E7" s="319" t="s">
        <v>270</v>
      </c>
      <c r="F7" s="319" t="s">
        <v>94</v>
      </c>
      <c r="G7" s="110" t="s">
        <v>276</v>
      </c>
    </row>
    <row r="8" spans="1:8" ht="46.5" customHeight="1">
      <c r="A8" s="320" t="s">
        <v>95</v>
      </c>
      <c r="B8" s="112" t="s">
        <v>96</v>
      </c>
      <c r="C8" s="112">
        <f>SUM(D8:G8)</f>
        <v>123000</v>
      </c>
      <c r="D8" s="112">
        <v>44000</v>
      </c>
      <c r="E8" s="112">
        <v>10000</v>
      </c>
      <c r="F8" s="112">
        <v>10000</v>
      </c>
      <c r="G8" s="321">
        <v>59000</v>
      </c>
    </row>
    <row r="9" spans="1:8" ht="46.5" customHeight="1">
      <c r="A9" s="481" t="s">
        <v>97</v>
      </c>
      <c r="B9" s="112" t="s">
        <v>98</v>
      </c>
      <c r="C9" s="112">
        <f t="shared" ref="C9:C16" si="0">SUM(D9:G9)</f>
        <v>0</v>
      </c>
      <c r="D9" s="113">
        <v>0</v>
      </c>
      <c r="E9" s="113">
        <v>0</v>
      </c>
      <c r="F9" s="113">
        <v>0</v>
      </c>
      <c r="G9" s="114">
        <v>0</v>
      </c>
    </row>
    <row r="10" spans="1:8" ht="46.5" customHeight="1">
      <c r="A10" s="481"/>
      <c r="B10" s="112" t="s">
        <v>99</v>
      </c>
      <c r="C10" s="112">
        <f t="shared" si="0"/>
        <v>2000</v>
      </c>
      <c r="D10" s="113">
        <v>1000</v>
      </c>
      <c r="E10" s="113">
        <v>500</v>
      </c>
      <c r="F10" s="113">
        <v>0</v>
      </c>
      <c r="G10" s="114">
        <v>500</v>
      </c>
    </row>
    <row r="11" spans="1:8" ht="46.5" customHeight="1">
      <c r="A11" s="481"/>
      <c r="B11" s="115" t="s">
        <v>100</v>
      </c>
      <c r="C11" s="112">
        <f t="shared" si="0"/>
        <v>32500</v>
      </c>
      <c r="D11" s="113">
        <v>13000</v>
      </c>
      <c r="E11" s="113">
        <v>4000</v>
      </c>
      <c r="F11" s="113">
        <v>4500</v>
      </c>
      <c r="G11" s="114">
        <v>11000</v>
      </c>
    </row>
    <row r="12" spans="1:8" ht="46.5" customHeight="1">
      <c r="A12" s="481"/>
      <c r="B12" s="115" t="s">
        <v>101</v>
      </c>
      <c r="C12" s="112">
        <f t="shared" si="0"/>
        <v>51000</v>
      </c>
      <c r="D12" s="113">
        <v>14500</v>
      </c>
      <c r="E12" s="113">
        <v>3000</v>
      </c>
      <c r="F12" s="113">
        <v>3000</v>
      </c>
      <c r="G12" s="114">
        <v>30500</v>
      </c>
    </row>
    <row r="13" spans="1:8" ht="46.5" customHeight="1">
      <c r="A13" s="481"/>
      <c r="B13" s="115" t="s">
        <v>102</v>
      </c>
      <c r="C13" s="112">
        <f t="shared" si="0"/>
        <v>0</v>
      </c>
      <c r="D13" s="113"/>
      <c r="E13" s="113"/>
      <c r="F13" s="113"/>
      <c r="G13" s="114"/>
    </row>
    <row r="14" spans="1:8" ht="46.5" customHeight="1">
      <c r="A14" s="481"/>
      <c r="B14" s="115" t="s">
        <v>103</v>
      </c>
      <c r="C14" s="112">
        <f t="shared" si="0"/>
        <v>14500</v>
      </c>
      <c r="D14" s="113">
        <v>5000</v>
      </c>
      <c r="E14" s="113">
        <v>1000</v>
      </c>
      <c r="F14" s="113">
        <v>2500</v>
      </c>
      <c r="G14" s="114">
        <v>6000</v>
      </c>
    </row>
    <row r="15" spans="1:8" ht="46.5" customHeight="1">
      <c r="A15" s="481"/>
      <c r="B15" s="115" t="s">
        <v>107</v>
      </c>
      <c r="C15" s="112">
        <f t="shared" si="0"/>
        <v>3000</v>
      </c>
      <c r="D15" s="113">
        <v>2000</v>
      </c>
      <c r="E15" s="113"/>
      <c r="F15" s="113"/>
      <c r="G15" s="114">
        <v>1000</v>
      </c>
    </row>
    <row r="16" spans="1:8" ht="46.5" customHeight="1">
      <c r="A16" s="481"/>
      <c r="B16" s="115" t="s">
        <v>104</v>
      </c>
      <c r="C16" s="112">
        <f t="shared" si="0"/>
        <v>20000</v>
      </c>
      <c r="D16" s="113">
        <v>8500</v>
      </c>
      <c r="E16" s="113">
        <v>1500</v>
      </c>
      <c r="F16" s="113"/>
      <c r="G16" s="114">
        <v>10000</v>
      </c>
    </row>
    <row r="17" spans="1:8" ht="46.5" customHeight="1" thickBot="1">
      <c r="A17" s="482" t="s">
        <v>355</v>
      </c>
      <c r="B17" s="483"/>
      <c r="C17" s="483"/>
      <c r="D17" s="483"/>
      <c r="E17" s="483"/>
      <c r="F17" s="483"/>
      <c r="G17" s="484"/>
    </row>
    <row r="18" spans="1:8" ht="20.399999999999999">
      <c r="A18" s="104"/>
      <c r="B18" s="104"/>
      <c r="C18" s="104"/>
      <c r="D18" s="102"/>
      <c r="E18" s="102"/>
      <c r="F18" s="102"/>
      <c r="G18" s="102"/>
    </row>
    <row r="19" spans="1:8" ht="22.5" customHeight="1">
      <c r="A19" s="116" t="s">
        <v>105</v>
      </c>
      <c r="B19" s="116"/>
      <c r="C19" s="116" t="s">
        <v>291</v>
      </c>
      <c r="D19" s="102"/>
      <c r="E19" s="102"/>
      <c r="F19" s="102"/>
      <c r="G19" s="102"/>
    </row>
    <row r="20" spans="1:8" ht="24.75" customHeight="1">
      <c r="A20" s="104"/>
      <c r="B20" s="104"/>
      <c r="C20" s="104"/>
      <c r="D20" s="102"/>
      <c r="E20" s="102"/>
      <c r="F20" s="485" t="s">
        <v>106</v>
      </c>
      <c r="G20" s="485"/>
      <c r="H20" s="105"/>
    </row>
    <row r="21" spans="1:8" ht="24.75" customHeight="1">
      <c r="A21" s="104"/>
      <c r="B21" s="104"/>
      <c r="C21" s="104"/>
      <c r="D21" s="102"/>
      <c r="E21" s="102"/>
      <c r="F21" s="486">
        <v>42905</v>
      </c>
      <c r="G21" s="485"/>
      <c r="H21" s="105"/>
    </row>
    <row r="22" spans="1:8" s="111" customFormat="1" ht="11.25" customHeight="1">
      <c r="D22" s="99"/>
      <c r="E22" s="99"/>
      <c r="F22" s="99"/>
      <c r="G22" s="99"/>
      <c r="H22" s="99"/>
    </row>
  </sheetData>
  <mergeCells count="12">
    <mergeCell ref="A7:B7"/>
    <mergeCell ref="A9:A16"/>
    <mergeCell ref="A17:G17"/>
    <mergeCell ref="F20:G20"/>
    <mergeCell ref="F21:G21"/>
    <mergeCell ref="A6:C6"/>
    <mergeCell ref="F6:G6"/>
    <mergeCell ref="A2:G2"/>
    <mergeCell ref="A4:G4"/>
    <mergeCell ref="A5:C5"/>
    <mergeCell ref="D5:E5"/>
    <mergeCell ref="F5:G5"/>
  </mergeCells>
  <phoneticPr fontId="4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7" orientation="landscape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</vt:i4>
      </vt:variant>
    </vt:vector>
  </HeadingPairs>
  <TitlesOfParts>
    <vt:vector size="14" baseType="lpstr">
      <vt:lpstr>生成1</vt:lpstr>
      <vt:lpstr>批次</vt:lpstr>
      <vt:lpstr>参数</vt:lpstr>
      <vt:lpstr>运行</vt:lpstr>
      <vt:lpstr>计算(长郴)</vt:lpstr>
      <vt:lpstr>生成</vt:lpstr>
      <vt:lpstr>最终</vt:lpstr>
      <vt:lpstr>备注</vt:lpstr>
      <vt:lpstr>常用</vt:lpstr>
      <vt:lpstr>计划单</vt:lpstr>
      <vt:lpstr>计划单!Print_Area</vt:lpstr>
      <vt:lpstr>'计算(长郴)'!Print_Area</vt:lpstr>
      <vt:lpstr>批次!Print_Area</vt:lpstr>
      <vt:lpstr>最终!Print_Titles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ZhangHe</dc:creator>
  <cp:lastModifiedBy>张贺</cp:lastModifiedBy>
  <cp:lastPrinted>2017-05-02T10:08:59Z</cp:lastPrinted>
  <dcterms:created xsi:type="dcterms:W3CDTF">2006-09-16T00:00:00Z</dcterms:created>
  <dcterms:modified xsi:type="dcterms:W3CDTF">2018-03-06T07:29:21Z</dcterms:modified>
</cp:coreProperties>
</file>